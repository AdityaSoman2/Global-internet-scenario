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Ops\Downloads\"/>
    </mc:Choice>
  </mc:AlternateContent>
  <xr:revisionPtr revIDLastSave="0" documentId="13_ncr:1_{EFE2818D-9121-4511-8BF1-58251F546496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isc" sheetId="5" r:id="rId1"/>
    <sheet name="Sheet1" sheetId="6" r:id="rId2"/>
    <sheet name="all_csv sorted" sheetId="1" r:id="rId3"/>
    <sheet name="worldwide internet prices" sheetId="2" r:id="rId4"/>
    <sheet name="worldwide internet speed" sheetId="3" r:id="rId5"/>
    <sheet name="worldwide internet users" sheetId="4" r:id="rId6"/>
  </sheets>
  <calcPr calcId="191029"/>
  <pivotCaches>
    <pivotCache cacheId="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53" i="1" l="1"/>
  <c r="K153" i="1"/>
  <c r="K134" i="1"/>
  <c r="K48" i="1"/>
  <c r="K165" i="1"/>
  <c r="K43" i="1"/>
  <c r="K75" i="1"/>
  <c r="K69" i="1"/>
  <c r="K157" i="1"/>
  <c r="K62" i="1"/>
  <c r="K27" i="1"/>
  <c r="K82" i="1"/>
  <c r="K79" i="1"/>
  <c r="K116" i="1"/>
  <c r="K85" i="1"/>
  <c r="K109" i="1"/>
  <c r="K88" i="1"/>
  <c r="K156" i="1"/>
  <c r="K125" i="1"/>
  <c r="K76" i="1"/>
  <c r="K133" i="1"/>
  <c r="K212" i="1"/>
  <c r="K176" i="1"/>
  <c r="K117" i="1"/>
  <c r="K45" i="1"/>
  <c r="K28" i="1"/>
  <c r="K135" i="1"/>
  <c r="K111" i="1"/>
  <c r="K44" i="1"/>
  <c r="K183" i="1"/>
  <c r="K89" i="1"/>
  <c r="K131" i="1"/>
  <c r="K127" i="1"/>
  <c r="K97" i="1"/>
  <c r="K164" i="1"/>
  <c r="K19" i="1"/>
  <c r="K5" i="1"/>
  <c r="K158" i="1"/>
  <c r="K132" i="1"/>
  <c r="K195" i="1"/>
  <c r="K93" i="1"/>
  <c r="K113" i="1"/>
  <c r="K57" i="1"/>
  <c r="K177" i="1"/>
  <c r="K72" i="1"/>
  <c r="K166" i="1"/>
  <c r="K170" i="1"/>
  <c r="K73" i="1"/>
  <c r="K36" i="1"/>
  <c r="K199" i="1"/>
  <c r="K124" i="1"/>
  <c r="K123" i="1"/>
  <c r="K67" i="1"/>
  <c r="K7" i="1"/>
  <c r="K128" i="1"/>
  <c r="K46" i="1"/>
  <c r="K126" i="1"/>
  <c r="K169" i="1"/>
  <c r="K138" i="1"/>
  <c r="K140" i="1"/>
  <c r="K40" i="1"/>
  <c r="K106" i="1"/>
  <c r="K6" i="1"/>
  <c r="K31" i="1"/>
  <c r="K178" i="1"/>
  <c r="K147" i="1"/>
  <c r="K201" i="1"/>
  <c r="K91" i="1"/>
  <c r="K162" i="1"/>
  <c r="K59" i="1"/>
  <c r="K38" i="1"/>
  <c r="K104" i="1"/>
  <c r="K8" i="1"/>
  <c r="K47" i="1"/>
  <c r="K14" i="1"/>
  <c r="K58" i="1"/>
  <c r="K99" i="1"/>
  <c r="K102" i="1"/>
  <c r="K16" i="1"/>
  <c r="K175" i="1"/>
  <c r="K161" i="1"/>
  <c r="K190" i="1"/>
  <c r="K168" i="1"/>
  <c r="K71" i="1"/>
  <c r="K110" i="1"/>
  <c r="K185" i="1"/>
  <c r="K63" i="1"/>
  <c r="K84" i="1"/>
  <c r="K98" i="1"/>
  <c r="K41" i="1"/>
  <c r="K66" i="1"/>
  <c r="K74" i="1"/>
  <c r="K100" i="1"/>
  <c r="K145" i="1"/>
  <c r="K197" i="1"/>
  <c r="K105" i="1"/>
  <c r="K64" i="1"/>
  <c r="K209" i="1"/>
  <c r="K29" i="1"/>
  <c r="K70" i="1"/>
  <c r="K56" i="1"/>
  <c r="K61" i="1"/>
  <c r="K148" i="1"/>
  <c r="K17" i="1"/>
  <c r="K154" i="1"/>
  <c r="K186" i="1"/>
  <c r="K200" i="1"/>
  <c r="K108" i="1"/>
  <c r="K33" i="1"/>
  <c r="K101" i="1"/>
  <c r="K90" i="1"/>
  <c r="K77" i="1"/>
  <c r="K92" i="1"/>
  <c r="K103" i="1"/>
  <c r="K120" i="1"/>
  <c r="K115" i="1"/>
  <c r="K149" i="1"/>
  <c r="K207" i="1"/>
  <c r="K179" i="1"/>
  <c r="K136" i="1"/>
  <c r="K2" i="1"/>
  <c r="K160" i="1"/>
  <c r="K129" i="1"/>
  <c r="K142" i="1"/>
  <c r="K11" i="1"/>
  <c r="K181" i="1"/>
  <c r="K83" i="1"/>
  <c r="K112" i="1"/>
  <c r="K204" i="1"/>
  <c r="K146" i="1"/>
  <c r="K18" i="1"/>
  <c r="K4" i="1"/>
  <c r="K173" i="1"/>
  <c r="K30" i="1"/>
  <c r="K206" i="1"/>
  <c r="K130" i="1"/>
  <c r="K192" i="1"/>
  <c r="K193" i="1"/>
  <c r="K15" i="1"/>
  <c r="K20" i="1"/>
  <c r="K25" i="1"/>
  <c r="K49" i="1"/>
  <c r="K51" i="1"/>
  <c r="K191" i="1"/>
  <c r="K86" i="1"/>
  <c r="K42" i="1"/>
  <c r="K80" i="1"/>
  <c r="K50" i="1"/>
  <c r="K150" i="1"/>
  <c r="K94" i="1"/>
  <c r="K35" i="1"/>
  <c r="K122" i="1"/>
  <c r="K81" i="1"/>
  <c r="K211" i="1"/>
  <c r="K55" i="1"/>
  <c r="K22" i="1"/>
  <c r="K9" i="1"/>
  <c r="K121" i="1"/>
  <c r="K187" i="1"/>
  <c r="K194" i="1"/>
  <c r="K10" i="1"/>
  <c r="K118" i="1"/>
  <c r="K95" i="1"/>
  <c r="K96" i="1"/>
  <c r="K139" i="1"/>
  <c r="K202" i="1"/>
  <c r="K21" i="1"/>
  <c r="K151" i="1"/>
  <c r="K37" i="1"/>
  <c r="K182" i="1"/>
  <c r="K24" i="1"/>
  <c r="K26" i="1"/>
  <c r="K13" i="1"/>
  <c r="K184" i="1"/>
  <c r="K39" i="1"/>
  <c r="K174" i="1"/>
  <c r="K143" i="1"/>
  <c r="K144" i="1"/>
  <c r="K54" i="1"/>
  <c r="K52" i="1"/>
  <c r="K32" i="1"/>
  <c r="K152" i="1"/>
  <c r="K107" i="1"/>
  <c r="K3" i="1"/>
  <c r="K137" i="1"/>
  <c r="K23" i="1"/>
  <c r="K114" i="1"/>
  <c r="K198" i="1"/>
  <c r="K159" i="1"/>
  <c r="K65" i="1"/>
  <c r="K78" i="1"/>
  <c r="K119" i="1"/>
  <c r="K60" i="1"/>
  <c r="K210" i="1"/>
  <c r="K188" i="1"/>
  <c r="K68" i="1"/>
  <c r="K171" i="1"/>
  <c r="K12" i="1"/>
  <c r="K180" i="1"/>
  <c r="K208" i="1"/>
  <c r="K189" i="1"/>
  <c r="K167" i="1"/>
  <c r="K141" i="1"/>
  <c r="K34" i="1"/>
  <c r="K172" i="1"/>
  <c r="K213" i="1"/>
  <c r="K155" i="1"/>
  <c r="K203" i="1"/>
  <c r="K87" i="1"/>
  <c r="K196" i="1"/>
  <c r="K205" i="1"/>
  <c r="K163" i="1"/>
</calcChain>
</file>

<file path=xl/sharedStrings.xml><?xml version="1.0" encoding="utf-8"?>
<sst xmlns="http://schemas.openxmlformats.org/spreadsheetml/2006/main" count="2022" uniqueCount="594">
  <si>
    <t>Country code</t>
  </si>
  <si>
    <t>Country</t>
  </si>
  <si>
    <t>Continental region</t>
  </si>
  <si>
    <t xml:space="preserve">NO. OF Internet Plans </t>
  </si>
  <si>
    <t>Average price of 1GB (USD)</t>
  </si>
  <si>
    <t>Cheapest 1GB for 30 days (USD)</t>
  </si>
  <si>
    <t>Most expensive 1GB (USD)</t>
  </si>
  <si>
    <t>Average price of 1GB (USD  at the start of 2021)</t>
  </si>
  <si>
    <t>Average price of 1GB (USD â€“ at start of 2020)</t>
  </si>
  <si>
    <t>Internet users</t>
  </si>
  <si>
    <t>Population</t>
  </si>
  <si>
    <t>Avg 
(Mbit/s)Ookla</t>
  </si>
  <si>
    <t>IL</t>
  </si>
  <si>
    <t>Israel</t>
  </si>
  <si>
    <t>NEAR EAST</t>
  </si>
  <si>
    <t>KG</t>
  </si>
  <si>
    <t>Kyrgyzstan</t>
  </si>
  <si>
    <t>CIS (FORMER USSR)</t>
  </si>
  <si>
    <t>FJ</t>
  </si>
  <si>
    <t>Fiji</t>
  </si>
  <si>
    <t>OCEANIA</t>
  </si>
  <si>
    <t>IT</t>
  </si>
  <si>
    <t>Italy</t>
  </si>
  <si>
    <t>WESTERN EUROPE</t>
  </si>
  <si>
    <t>SD</t>
  </si>
  <si>
    <t>Sudan</t>
  </si>
  <si>
    <t>SUB-SAHARAN AFRICA</t>
  </si>
  <si>
    <t>RU</t>
  </si>
  <si>
    <t>Russia</t>
  </si>
  <si>
    <t>MD</t>
  </si>
  <si>
    <t>Moldova</t>
  </si>
  <si>
    <t>EASTERN EUROPE</t>
  </si>
  <si>
    <t>BD</t>
  </si>
  <si>
    <t>Bangladesh</t>
  </si>
  <si>
    <t>ASIA (EX. NEAR EAST)</t>
  </si>
  <si>
    <t>LK</t>
  </si>
  <si>
    <t>Sri Lanka</t>
  </si>
  <si>
    <t>CL</t>
  </si>
  <si>
    <t>Chile</t>
  </si>
  <si>
    <t>SOUTH AMERICA</t>
  </si>
  <si>
    <t>FR</t>
  </si>
  <si>
    <t>France</t>
  </si>
  <si>
    <t>ID</t>
  </si>
  <si>
    <t>Indonesia</t>
  </si>
  <si>
    <t>BY</t>
  </si>
  <si>
    <t>Belarus</t>
  </si>
  <si>
    <t>SM</t>
  </si>
  <si>
    <t>San Marino</t>
  </si>
  <si>
    <t>VN</t>
  </si>
  <si>
    <t>Vietnam</t>
  </si>
  <si>
    <t>DZ</t>
  </si>
  <si>
    <t>Algeria</t>
  </si>
  <si>
    <t>NORTHERN AFRICA</t>
  </si>
  <si>
    <t>CN</t>
  </si>
  <si>
    <t>China</t>
  </si>
  <si>
    <t>WS</t>
  </si>
  <si>
    <t>Samoa</t>
  </si>
  <si>
    <t>PK</t>
  </si>
  <si>
    <t>Pakistan</t>
  </si>
  <si>
    <t>KZ</t>
  </si>
  <si>
    <t>Kazakhstan</t>
  </si>
  <si>
    <t>UZ</t>
  </si>
  <si>
    <t>Uzbekistan</t>
  </si>
  <si>
    <t>SO</t>
  </si>
  <si>
    <t>Somalia</t>
  </si>
  <si>
    <t>MN</t>
  </si>
  <si>
    <t>Mongolia</t>
  </si>
  <si>
    <t>NP</t>
  </si>
  <si>
    <t>Nepal</t>
  </si>
  <si>
    <t>TR</t>
  </si>
  <si>
    <t>Turkey</t>
  </si>
  <si>
    <t>PL</t>
  </si>
  <si>
    <t>Poland</t>
  </si>
  <si>
    <t>GH</t>
  </si>
  <si>
    <t>Ghana</t>
  </si>
  <si>
    <t>IN</t>
  </si>
  <si>
    <t>India</t>
  </si>
  <si>
    <t>AU</t>
  </si>
  <si>
    <t>Australia</t>
  </si>
  <si>
    <t>LY</t>
  </si>
  <si>
    <t>Libya</t>
  </si>
  <si>
    <t>UA</t>
  </si>
  <si>
    <t>Ukraine</t>
  </si>
  <si>
    <t>TZ</t>
  </si>
  <si>
    <t>Tanzania</t>
  </si>
  <si>
    <t>MU</t>
  </si>
  <si>
    <t>Mauritius</t>
  </si>
  <si>
    <t>RE</t>
  </si>
  <si>
    <t>RÃ©union</t>
  </si>
  <si>
    <t>AM</t>
  </si>
  <si>
    <t>Armenia</t>
  </si>
  <si>
    <t>MM</t>
  </si>
  <si>
    <t>Myanmar</t>
  </si>
  <si>
    <t>DK</t>
  </si>
  <si>
    <t>Denmark</t>
  </si>
  <si>
    <t>KW</t>
  </si>
  <si>
    <t>Kuwait</t>
  </si>
  <si>
    <t>YT</t>
  </si>
  <si>
    <t>Mayotte</t>
  </si>
  <si>
    <t>KH</t>
  </si>
  <si>
    <t>Cambodia</t>
  </si>
  <si>
    <t>BT</t>
  </si>
  <si>
    <t>Bhutan</t>
  </si>
  <si>
    <t>HT</t>
  </si>
  <si>
    <t>Haiti</t>
  </si>
  <si>
    <t>CARIBBEAN</t>
  </si>
  <si>
    <t>NG</t>
  </si>
  <si>
    <t>Nigeria</t>
  </si>
  <si>
    <t>EH</t>
  </si>
  <si>
    <t>Western Sahara</t>
  </si>
  <si>
    <t>MA</t>
  </si>
  <si>
    <t>Morocco</t>
  </si>
  <si>
    <t>MY</t>
  </si>
  <si>
    <t>Malaysia</t>
  </si>
  <si>
    <t>GP</t>
  </si>
  <si>
    <t>Guadeloupe</t>
  </si>
  <si>
    <t>CM</t>
  </si>
  <si>
    <t>Cameroon</t>
  </si>
  <si>
    <t>BR</t>
  </si>
  <si>
    <t>Brazil</t>
  </si>
  <si>
    <t>SN</t>
  </si>
  <si>
    <t>Senegal</t>
  </si>
  <si>
    <t>NI</t>
  </si>
  <si>
    <t>Nicaragua</t>
  </si>
  <si>
    <t>CENTRAL AMERICA</t>
  </si>
  <si>
    <t>MK</t>
  </si>
  <si>
    <t>North Macedonia</t>
  </si>
  <si>
    <t>FI</t>
  </si>
  <si>
    <t>Finland</t>
  </si>
  <si>
    <t>AF</t>
  </si>
  <si>
    <t>Afghanistan</t>
  </si>
  <si>
    <t>EG</t>
  </si>
  <si>
    <t>Egypt</t>
  </si>
  <si>
    <t>EC</t>
  </si>
  <si>
    <t>Ecuador</t>
  </si>
  <si>
    <t>TH</t>
  </si>
  <si>
    <t>Thailand</t>
  </si>
  <si>
    <t>MC</t>
  </si>
  <si>
    <t>Monaco</t>
  </si>
  <si>
    <t>TN</t>
  </si>
  <si>
    <t>Tunisia</t>
  </si>
  <si>
    <t>SG</t>
  </si>
  <si>
    <t>Singapore</t>
  </si>
  <si>
    <t>DJ</t>
  </si>
  <si>
    <t>Djibouti</t>
  </si>
  <si>
    <t>ZM</t>
  </si>
  <si>
    <t>Zambia</t>
  </si>
  <si>
    <t>IQ</t>
  </si>
  <si>
    <t>Iraq</t>
  </si>
  <si>
    <t>PE</t>
  </si>
  <si>
    <t>Peru</t>
  </si>
  <si>
    <t>AT</t>
  </si>
  <si>
    <t>Austria</t>
  </si>
  <si>
    <t>RO</t>
  </si>
  <si>
    <t>Romania</t>
  </si>
  <si>
    <t>IS</t>
  </si>
  <si>
    <t>Iceland</t>
  </si>
  <si>
    <t>ES</t>
  </si>
  <si>
    <t>Spain</t>
  </si>
  <si>
    <t>RW</t>
  </si>
  <si>
    <t>Rwanda</t>
  </si>
  <si>
    <t>TO</t>
  </si>
  <si>
    <t>Tonga</t>
  </si>
  <si>
    <t>NE</t>
  </si>
  <si>
    <t>Niger</t>
  </si>
  <si>
    <t>RS</t>
  </si>
  <si>
    <t>Serbia</t>
  </si>
  <si>
    <t>JE</t>
  </si>
  <si>
    <t>Jersey</t>
  </si>
  <si>
    <t>SV</t>
  </si>
  <si>
    <t>El Salvador</t>
  </si>
  <si>
    <t>LT</t>
  </si>
  <si>
    <t>Lithuania</t>
  </si>
  <si>
    <t>BALTICS</t>
  </si>
  <si>
    <t>EE</t>
  </si>
  <si>
    <t>Estonia</t>
  </si>
  <si>
    <t>JO</t>
  </si>
  <si>
    <t>Jordan</t>
  </si>
  <si>
    <t>GB</t>
  </si>
  <si>
    <t>United Kingdom</t>
  </si>
  <si>
    <t>IE</t>
  </si>
  <si>
    <t>Ireland</t>
  </si>
  <si>
    <t>SE</t>
  </si>
  <si>
    <t>Sweden</t>
  </si>
  <si>
    <t>GG</t>
  </si>
  <si>
    <t>Guernsey</t>
  </si>
  <si>
    <t>SA</t>
  </si>
  <si>
    <t>Saudi Arabia</t>
  </si>
  <si>
    <t>UY</t>
  </si>
  <si>
    <t>Uruguay</t>
  </si>
  <si>
    <t>DO</t>
  </si>
  <si>
    <t>Dominican Republic</t>
  </si>
  <si>
    <t>IR</t>
  </si>
  <si>
    <t>Iran</t>
  </si>
  <si>
    <t>UG</t>
  </si>
  <si>
    <t>Uganda</t>
  </si>
  <si>
    <t>HN</t>
  </si>
  <si>
    <t>Honduras</t>
  </si>
  <si>
    <t>GF</t>
  </si>
  <si>
    <t>French Guiana</t>
  </si>
  <si>
    <t>AO</t>
  </si>
  <si>
    <t>Angola</t>
  </si>
  <si>
    <t>PW</t>
  </si>
  <si>
    <t>Palau</t>
  </si>
  <si>
    <t>TL</t>
  </si>
  <si>
    <t>East Timor</t>
  </si>
  <si>
    <t>HU</t>
  </si>
  <si>
    <t>Hungary</t>
  </si>
  <si>
    <t>PS</t>
  </si>
  <si>
    <t>Palestine</t>
  </si>
  <si>
    <t>ET</t>
  </si>
  <si>
    <t>Ethiopia</t>
  </si>
  <si>
    <t>SI</t>
  </si>
  <si>
    <t>Slovenia</t>
  </si>
  <si>
    <t>DM</t>
  </si>
  <si>
    <t>Dominica</t>
  </si>
  <si>
    <t>PH</t>
  </si>
  <si>
    <t>Philippines</t>
  </si>
  <si>
    <t>GE</t>
  </si>
  <si>
    <t>Georgia</t>
  </si>
  <si>
    <t>IM</t>
  </si>
  <si>
    <t>Isle of Man</t>
  </si>
  <si>
    <t>AZ</t>
  </si>
  <si>
    <t>Azerbaijan</t>
  </si>
  <si>
    <t>TT</t>
  </si>
  <si>
    <t>Trinidad and Tobago</t>
  </si>
  <si>
    <t>MO</t>
  </si>
  <si>
    <t>Macau</t>
  </si>
  <si>
    <t>GT</t>
  </si>
  <si>
    <t>Guatemala</t>
  </si>
  <si>
    <t>SR</t>
  </si>
  <si>
    <t>Suriname</t>
  </si>
  <si>
    <t>GN</t>
  </si>
  <si>
    <t>Guinea</t>
  </si>
  <si>
    <t>AS</t>
  </si>
  <si>
    <t>American Samoa</t>
  </si>
  <si>
    <t>VI</t>
  </si>
  <si>
    <t>U.S. Virgin Islands</t>
  </si>
  <si>
    <t>MT</t>
  </si>
  <si>
    <t>Malta</t>
  </si>
  <si>
    <t>BI</t>
  </si>
  <si>
    <t>Burundi</t>
  </si>
  <si>
    <t>BH</t>
  </si>
  <si>
    <t>Bahrain</t>
  </si>
  <si>
    <t>OM</t>
  </si>
  <si>
    <t>Oman</t>
  </si>
  <si>
    <t>ME</t>
  </si>
  <si>
    <t>Montenegro</t>
  </si>
  <si>
    <t>GU</t>
  </si>
  <si>
    <t>Guam</t>
  </si>
  <si>
    <t>MP</t>
  </si>
  <si>
    <t>Northern Mariana Islands</t>
  </si>
  <si>
    <t>BO</t>
  </si>
  <si>
    <t>Bolivia</t>
  </si>
  <si>
    <t>BN</t>
  </si>
  <si>
    <t>Brunei</t>
  </si>
  <si>
    <t>SZ</t>
  </si>
  <si>
    <t>Eswatini</t>
  </si>
  <si>
    <t>KE</t>
  </si>
  <si>
    <t>Kenya</t>
  </si>
  <si>
    <t>PG</t>
  </si>
  <si>
    <t>Papua New Guinea</t>
  </si>
  <si>
    <t>BG</t>
  </si>
  <si>
    <t>Bulgaria</t>
  </si>
  <si>
    <t>HK</t>
  </si>
  <si>
    <t>Hong Kong, China</t>
  </si>
  <si>
    <t>HR</t>
  </si>
  <si>
    <t>Croatia</t>
  </si>
  <si>
    <t>CR</t>
  </si>
  <si>
    <t>Costa Rica</t>
  </si>
  <si>
    <t>BL</t>
  </si>
  <si>
    <t>Saint BarthÃ©lemy (St. Barts)</t>
  </si>
  <si>
    <t>AR</t>
  </si>
  <si>
    <t>Argentina</t>
  </si>
  <si>
    <t>BA</t>
  </si>
  <si>
    <t>Bosnia and Herzegovina</t>
  </si>
  <si>
    <t>VC</t>
  </si>
  <si>
    <t>Saint Vincent and the Grenadines</t>
  </si>
  <si>
    <t>GD</t>
  </si>
  <si>
    <t>Grenada</t>
  </si>
  <si>
    <t>PY</t>
  </si>
  <si>
    <t>Paraguay</t>
  </si>
  <si>
    <t>CI</t>
  </si>
  <si>
    <t>CÃ´te d'Ivoire</t>
  </si>
  <si>
    <t>LR</t>
  </si>
  <si>
    <t>Liberia</t>
  </si>
  <si>
    <t>TJ</t>
  </si>
  <si>
    <t>Tajikistan</t>
  </si>
  <si>
    <t>LC</t>
  </si>
  <si>
    <t>Saint Lucia</t>
  </si>
  <si>
    <t>FO</t>
  </si>
  <si>
    <t>Faroe Islands</t>
  </si>
  <si>
    <t>LS</t>
  </si>
  <si>
    <t>Lesotho</t>
  </si>
  <si>
    <t>ZA</t>
  </si>
  <si>
    <t>South Africa</t>
  </si>
  <si>
    <t>JM</t>
  </si>
  <si>
    <t>Jamaica</t>
  </si>
  <si>
    <t>AX</t>
  </si>
  <si>
    <t>Ã…land Islands</t>
  </si>
  <si>
    <t>GI</t>
  </si>
  <si>
    <t>Gibraltar</t>
  </si>
  <si>
    <t>MZ</t>
  </si>
  <si>
    <t>Mozambique</t>
  </si>
  <si>
    <t>AL</t>
  </si>
  <si>
    <t>Albania</t>
  </si>
  <si>
    <t>CO</t>
  </si>
  <si>
    <t>Colombia</t>
  </si>
  <si>
    <t>CG</t>
  </si>
  <si>
    <t>Congo</t>
  </si>
  <si>
    <t>BZ</t>
  </si>
  <si>
    <t>Belize</t>
  </si>
  <si>
    <t>LU</t>
  </si>
  <si>
    <t>Luxembourg</t>
  </si>
  <si>
    <t>LI</t>
  </si>
  <si>
    <t>Liechtenstein</t>
  </si>
  <si>
    <t>NL</t>
  </si>
  <si>
    <t>The Netherlands</t>
  </si>
  <si>
    <t>LA</t>
  </si>
  <si>
    <t>Laos</t>
  </si>
  <si>
    <t>QA</t>
  </si>
  <si>
    <t>Qatar</t>
  </si>
  <si>
    <t>KM</t>
  </si>
  <si>
    <t>Comoros</t>
  </si>
  <si>
    <t>MV</t>
  </si>
  <si>
    <t>Maldives</t>
  </si>
  <si>
    <t>SL</t>
  </si>
  <si>
    <t>Sierra Leone</t>
  </si>
  <si>
    <t>ML</t>
  </si>
  <si>
    <t>Mali</t>
  </si>
  <si>
    <t>US</t>
  </si>
  <si>
    <t>United States</t>
  </si>
  <si>
    <t>NORTHERN AMERICA</t>
  </si>
  <si>
    <t>DE</t>
  </si>
  <si>
    <t>Germany</t>
  </si>
  <si>
    <t>JP</t>
  </si>
  <si>
    <t>Japan</t>
  </si>
  <si>
    <t>MF</t>
  </si>
  <si>
    <t>Saint-Martin (France)</t>
  </si>
  <si>
    <t>MQ</t>
  </si>
  <si>
    <t>Martinique</t>
  </si>
  <si>
    <t>LV</t>
  </si>
  <si>
    <t>Latvia</t>
  </si>
  <si>
    <t>CK</t>
  </si>
  <si>
    <t>Cook Islands</t>
  </si>
  <si>
    <t>NO PACKAGES</t>
  </si>
  <si>
    <t>SK</t>
  </si>
  <si>
    <t>Slovakia</t>
  </si>
  <si>
    <t>BJ</t>
  </si>
  <si>
    <t>Benin</t>
  </si>
  <si>
    <t>MX</t>
  </si>
  <si>
    <t>Mexico</t>
  </si>
  <si>
    <t>KN</t>
  </si>
  <si>
    <t>Saint Kitts and Nevis</t>
  </si>
  <si>
    <t>PT</t>
  </si>
  <si>
    <t>Portugal</t>
  </si>
  <si>
    <t>AI</t>
  </si>
  <si>
    <t>Anguilla</t>
  </si>
  <si>
    <t>BW</t>
  </si>
  <si>
    <t>Botswana</t>
  </si>
  <si>
    <t>GL</t>
  </si>
  <si>
    <t>Greenland</t>
  </si>
  <si>
    <t>PR</t>
  </si>
  <si>
    <t>Puerto Rico (U.S.)</t>
  </si>
  <si>
    <t>MS</t>
  </si>
  <si>
    <t>Montserrat</t>
  </si>
  <si>
    <t>SX</t>
  </si>
  <si>
    <t>Sint Maarten</t>
  </si>
  <si>
    <t>PF</t>
  </si>
  <si>
    <t>French Polynesia</t>
  </si>
  <si>
    <t>GW</t>
  </si>
  <si>
    <t>Guinea-Bissau</t>
  </si>
  <si>
    <t>AG</t>
  </si>
  <si>
    <t>Antigua and Barbuda</t>
  </si>
  <si>
    <t>AW</t>
  </si>
  <si>
    <t>Aruba (Netherlands)</t>
  </si>
  <si>
    <t>PA</t>
  </si>
  <si>
    <t>Panama</t>
  </si>
  <si>
    <t>BF</t>
  </si>
  <si>
    <t>Burkina Faso</t>
  </si>
  <si>
    <t>SJ</t>
  </si>
  <si>
    <t>Svalbard and Jan Mayen</t>
  </si>
  <si>
    <t>TG</t>
  </si>
  <si>
    <t>Togo</t>
  </si>
  <si>
    <t>KR</t>
  </si>
  <si>
    <t>South Korea</t>
  </si>
  <si>
    <t>CV</t>
  </si>
  <si>
    <t>Cabo Verde</t>
  </si>
  <si>
    <t>LB</t>
  </si>
  <si>
    <t>Lebanon</t>
  </si>
  <si>
    <t>GA</t>
  </si>
  <si>
    <t>Gabon</t>
  </si>
  <si>
    <t>MG</t>
  </si>
  <si>
    <t>Madagascar</t>
  </si>
  <si>
    <t>CH</t>
  </si>
  <si>
    <t>Switzerland</t>
  </si>
  <si>
    <t>GY</t>
  </si>
  <si>
    <t>Guyana</t>
  </si>
  <si>
    <t>BE</t>
  </si>
  <si>
    <t>Belgium</t>
  </si>
  <si>
    <t>MR</t>
  </si>
  <si>
    <t>Mauritania</t>
  </si>
  <si>
    <t>TW</t>
  </si>
  <si>
    <t>Taiwan</t>
  </si>
  <si>
    <t>CA</t>
  </si>
  <si>
    <t>Canada</t>
  </si>
  <si>
    <t>NO</t>
  </si>
  <si>
    <t>Norway</t>
  </si>
  <si>
    <t>GM</t>
  </si>
  <si>
    <t>Gambia</t>
  </si>
  <si>
    <t>BS</t>
  </si>
  <si>
    <t>Bahamas</t>
  </si>
  <si>
    <t>VU</t>
  </si>
  <si>
    <t>Vanuatu</t>
  </si>
  <si>
    <t>TV</t>
  </si>
  <si>
    <t>Tuvalu</t>
  </si>
  <si>
    <t>NO PROVIDERS</t>
  </si>
  <si>
    <t>CW</t>
  </si>
  <si>
    <t>CuraÃ§ao</t>
  </si>
  <si>
    <t>NC</t>
  </si>
  <si>
    <t>New Caledonia</t>
  </si>
  <si>
    <t>BB</t>
  </si>
  <si>
    <t>Barbados</t>
  </si>
  <si>
    <t>NZ</t>
  </si>
  <si>
    <t>New Zealand</t>
  </si>
  <si>
    <t>SY</t>
  </si>
  <si>
    <t>Syria</t>
  </si>
  <si>
    <t>NU</t>
  </si>
  <si>
    <t>Niue</t>
  </si>
  <si>
    <t>AD</t>
  </si>
  <si>
    <t>Andorra</t>
  </si>
  <si>
    <t>CU</t>
  </si>
  <si>
    <t>Cuba</t>
  </si>
  <si>
    <t>IO</t>
  </si>
  <si>
    <t>British Indian Ocean Territory</t>
  </si>
  <si>
    <t>AE</t>
  </si>
  <si>
    <t>United Arab Emirates</t>
  </si>
  <si>
    <t>NR</t>
  </si>
  <si>
    <t>Nauru</t>
  </si>
  <si>
    <t>SB</t>
  </si>
  <si>
    <t>Solomon Islands</t>
  </si>
  <si>
    <t>FM</t>
  </si>
  <si>
    <t>Micronesia</t>
  </si>
  <si>
    <t>TC</t>
  </si>
  <si>
    <t>Turks and Caicos Islands</t>
  </si>
  <si>
    <t>CZ</t>
  </si>
  <si>
    <t>Czech Republic</t>
  </si>
  <si>
    <t>GR</t>
  </si>
  <si>
    <t>Greece</t>
  </si>
  <si>
    <t>SC</t>
  </si>
  <si>
    <t>Seychelles</t>
  </si>
  <si>
    <t>CY</t>
  </si>
  <si>
    <t>Cyprus</t>
  </si>
  <si>
    <t>CF</t>
  </si>
  <si>
    <t>Central African Republic</t>
  </si>
  <si>
    <t>VG</t>
  </si>
  <si>
    <t>Virgin Islands (British)</t>
  </si>
  <si>
    <t>KI</t>
  </si>
  <si>
    <t>Kiribati</t>
  </si>
  <si>
    <t>BQ</t>
  </si>
  <si>
    <t>Caribbean Netherlands</t>
  </si>
  <si>
    <t>KY</t>
  </si>
  <si>
    <t>Cayman Islands</t>
  </si>
  <si>
    <t>CC</t>
  </si>
  <si>
    <t>Cocos (Keeling) Islands</t>
  </si>
  <si>
    <t>YE</t>
  </si>
  <si>
    <t>Yemen</t>
  </si>
  <si>
    <t>BM</t>
  </si>
  <si>
    <t>Bermuda</t>
  </si>
  <si>
    <t>TK</t>
  </si>
  <si>
    <t>Tokelau</t>
  </si>
  <si>
    <t>TM</t>
  </si>
  <si>
    <t>Turkmenistan</t>
  </si>
  <si>
    <t>TD</t>
  </si>
  <si>
    <t>Chad</t>
  </si>
  <si>
    <t>MW</t>
  </si>
  <si>
    <t>Malawi</t>
  </si>
  <si>
    <t>ST</t>
  </si>
  <si>
    <t>SÃ£o TomÃ© and PrÃ­ncipe</t>
  </si>
  <si>
    <t>SH</t>
  </si>
  <si>
    <t>Saint Helena, Ascension and Tristan da Cunha</t>
  </si>
  <si>
    <t>FK</t>
  </si>
  <si>
    <t>Falkland Islands</t>
  </si>
  <si>
    <t>GQ</t>
  </si>
  <si>
    <t>Equatorial Guinea</t>
  </si>
  <si>
    <t>Christmas Island</t>
  </si>
  <si>
    <t>ER</t>
  </si>
  <si>
    <t>Eritrea</t>
  </si>
  <si>
    <t>KP</t>
  </si>
  <si>
    <t>North Korea</t>
  </si>
  <si>
    <t>MH</t>
  </si>
  <si>
    <t>Marshall Islands</t>
  </si>
  <si>
    <t>PM</t>
  </si>
  <si>
    <t>St. Pierre and Miquelon</t>
  </si>
  <si>
    <t>SS</t>
  </si>
  <si>
    <t>South Sudan</t>
  </si>
  <si>
    <t>VA</t>
  </si>
  <si>
    <t>Vatican City (Holy See)</t>
  </si>
  <si>
    <t>Europe</t>
  </si>
  <si>
    <t>VE</t>
  </si>
  <si>
    <t>Venezuela</t>
  </si>
  <si>
    <t>HYPERINFLATION</t>
  </si>
  <si>
    <t>WF</t>
  </si>
  <si>
    <t>Wallis and Futuna</t>
  </si>
  <si>
    <t>CD</t>
  </si>
  <si>
    <t>Democratic Republic of the Congo</t>
  </si>
  <si>
    <t>Prices listed in non-convertible 'units'</t>
  </si>
  <si>
    <t>ZW</t>
  </si>
  <si>
    <t>Zimbabwe</t>
  </si>
  <si>
    <t>UNRELIABLE EXCHANGE RATES</t>
  </si>
  <si>
    <t>Name</t>
  </si>
  <si>
    <t>Russian Federation</t>
  </si>
  <si>
    <t>Macedonia</t>
  </si>
  <si>
    <t>Timor-Leste</t>
  </si>
  <si>
    <t>Palestine, State of</t>
  </si>
  <si>
    <t>Virgin Islands (U.S.)</t>
  </si>
  <si>
    <t>Brunei Darussalam</t>
  </si>
  <si>
    <t>Hong Kong</t>
  </si>
  <si>
    <t>Lao People's Democratic Republic</t>
  </si>
  <si>
    <t>Puerto Rico</t>
  </si>
  <si>
    <t>Aruba</t>
  </si>
  <si>
    <t>Cape Verde</t>
  </si>
  <si>
    <t>Micronesia (Federated States of)</t>
  </si>
  <si>
    <t>NA</t>
  </si>
  <si>
    <t>Namibia</t>
  </si>
  <si>
    <t>Saint Helena</t>
  </si>
  <si>
    <t>Congo (Democratic Republic of)</t>
  </si>
  <si>
    <t>Netherlands</t>
  </si>
  <si>
    <t>Ivory Coast</t>
  </si>
  <si>
    <t>Kosovo</t>
  </si>
  <si>
    <t>DR Congo</t>
  </si>
  <si>
    <t>Country or area</t>
  </si>
  <si>
    <t>Subregion</t>
  </si>
  <si>
    <t>Region</t>
  </si>
  <si>
    <t>Eastern Asia</t>
  </si>
  <si>
    <t>Asia</t>
  </si>
  <si>
    <t>Southern Asia</t>
  </si>
  <si>
    <t>Northern America</t>
  </si>
  <si>
    <t>Americas</t>
  </si>
  <si>
    <t>South-eastern Asia</t>
  </si>
  <si>
    <t>South America</t>
  </si>
  <si>
    <t>Western Africa</t>
  </si>
  <si>
    <t>Africa</t>
  </si>
  <si>
    <t>Eastern Europe</t>
  </si>
  <si>
    <t>Western Asia</t>
  </si>
  <si>
    <t>Western Europe</t>
  </si>
  <si>
    <t>Southern Europe</t>
  </si>
  <si>
    <t>Northern Europe</t>
  </si>
  <si>
    <t>Northern Africa</t>
  </si>
  <si>
    <t>Southern Africa</t>
  </si>
  <si>
    <t>Australia, New Zealand</t>
  </si>
  <si>
    <t>Oceania</t>
  </si>
  <si>
    <t>Eastern Africa</t>
  </si>
  <si>
    <t>Central Asia</t>
  </si>
  <si>
    <t>Middle Africa</t>
  </si>
  <si>
    <t>Caribbean</t>
  </si>
  <si>
    <t>Central America</t>
  </si>
  <si>
    <t>Melanesia</t>
  </si>
  <si>
    <t>Macau, China</t>
  </si>
  <si>
    <t>Polynesia</t>
  </si>
  <si>
    <t>British Virgin Islands</t>
  </si>
  <si>
    <t>All data for 2022</t>
  </si>
  <si>
    <t>Source</t>
  </si>
  <si>
    <t>Internet Prices around 200+ countries in 2022.</t>
  </si>
  <si>
    <t>https://www.kaggle.com/datasets/ramjasmaurya/1-gb-internet-price</t>
  </si>
  <si>
    <t>% users</t>
  </si>
  <si>
    <t>Average price of 1GB (USD at start of 2020)</t>
  </si>
  <si>
    <t>Average price of 1GB (USD at the start of 2021)</t>
  </si>
  <si>
    <t>Row Labels</t>
  </si>
  <si>
    <t>Grand Total</t>
  </si>
  <si>
    <t>Gen</t>
  </si>
  <si>
    <t>Max Speed</t>
  </si>
  <si>
    <t>Avg Speed</t>
  </si>
  <si>
    <t>2G</t>
  </si>
  <si>
    <t>3G</t>
  </si>
  <si>
    <t>4G</t>
  </si>
  <si>
    <t>4G LTE</t>
  </si>
  <si>
    <t>5G</t>
  </si>
  <si>
    <t>50 mbps+</t>
  </si>
  <si>
    <t>15-50 mbps</t>
  </si>
  <si>
    <t>0.3 mbps</t>
  </si>
  <si>
    <t>7.2 mbps</t>
  </si>
  <si>
    <t>150 mbps</t>
  </si>
  <si>
    <t>0.1 mbps</t>
  </si>
  <si>
    <t>1.5 mbps</t>
  </si>
  <si>
    <t>10 mbps</t>
  </si>
  <si>
    <t>1 gbps</t>
  </si>
  <si>
    <t>10 gbps</t>
  </si>
  <si>
    <t>1 gbps = 1000 mbps</t>
  </si>
  <si>
    <t>Max of Average price of 1GB (USD)</t>
  </si>
  <si>
    <t>Max of Average price of 1GB (USD at the start of 2021)</t>
  </si>
  <si>
    <t>Max of Average price of 1GB (USD at start of 2020)</t>
  </si>
  <si>
    <t>Year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</si>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</sst>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6">
    <xf numFmtId="0" fontId="0" fillId="0" borderId="0" xfId="0"/>
    <xf numFmtId="0" fontId="0" fillId="0" borderId="0" xfId="0" applyAlignment="1">
      <alignment wrapText="1"/>
    </xf>
    <xf numFmtId="3" fontId="0" fillId="0" borderId="0" xfId="0" applyNumberFormat="1"/>
    <xf numFmtId="8" fontId="0" fillId="0" borderId="0" xfId="0" applyNumberFormat="1"/>
    <xf numFmtId="0" fontId="0" fillId="33" borderId="0" xfId="0" applyFill="1"/>
    <xf numFmtId="3" fontId="0" fillId="33" borderId="0" xfId="0" applyNumberFormat="1" applyFill="1"/>
    <xf numFmtId="9" fontId="0" fillId="33" borderId="0" xfId="42" applyFont="1" applyFill="1"/>
    <xf numFmtId="3" fontId="0" fillId="33" borderId="10" xfId="0" applyNumberFormat="1" applyFill="1" applyBorder="1"/>
    <xf numFmtId="3" fontId="0" fillId="34" borderId="0" xfId="0" applyNumberFormat="1" applyFont="1" applyFill="1" applyBorder="1"/>
    <xf numFmtId="3" fontId="0" fillId="33" borderId="0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16" fillId="35" borderId="11" xfId="0" applyFont="1" applyFill="1" applyBorder="1"/>
    <xf numFmtId="2" fontId="0" fillId="0" borderId="0" xfId="0" applyNumberFormat="1"/>
    <xf numFmtId="0" fontId="0" fillId="0" borderId="0" xfId="0" applyAlignment="1">
      <alignment horizontal="right"/>
    </xf>
    <xf numFmtId="1" fontId="16" fillId="35" borderId="11" xfId="0" applyNumberFormat="1" applyFont="1" applyFill="1" applyBorder="1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/>
        <bottom style="thin">
          <color theme="4" tint="0.39997558519241921"/>
        </bottom>
      </border>
    </dxf>
    <dxf>
      <numFmt numFmtId="2" formatCode="0.00"/>
    </dxf>
    <dxf>
      <numFmt numFmtId="166" formatCode="0.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3" formatCode="#,##0"/>
      <fill>
        <patternFill>
          <bgColor theme="0"/>
        </patternFill>
      </fill>
    </dxf>
    <dxf>
      <numFmt numFmtId="3" formatCode="#,##0"/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perTrue Operations" refreshedDate="44771.717863773149" createdVersion="8" refreshedVersion="8" minRefreshableVersion="3" recordCount="212" xr:uid="{C55D526C-9113-4E5E-B06E-55152796A4AE}">
  <cacheSource type="worksheet">
    <worksheetSource name="Table1"/>
  </cacheSource>
  <cacheFields count="11">
    <cacheField name="Country" numFmtId="0">
      <sharedItems count="209">
        <s v="Faroe Islands"/>
        <s v="Andorra"/>
        <s v="Liechtenstein"/>
        <s v="Kuwait"/>
        <s v="Iceland"/>
        <s v="Monaco"/>
        <s v="United Kingdom"/>
        <s v="Aruba (Netherlands)"/>
        <s v="South Korea"/>
        <s v="Gibraltar"/>
        <s v="Bermuda"/>
        <s v="Norway"/>
        <s v="Sweden"/>
        <s v="United States"/>
        <s v="Iran"/>
        <s v="Brunei"/>
        <s v="Luxembourg"/>
        <s v="Denmark"/>
        <s v="Germany"/>
        <s v="Switzerland"/>
        <s v="United Arab Emirates"/>
        <s v="Taiwan"/>
        <s v="Japan"/>
        <s v="Canada"/>
        <s v="France"/>
        <s v="Poland"/>
        <s v="Bahrain"/>
        <s v="Qatar"/>
        <s v="Spain"/>
        <s v="New Zealand"/>
        <s v="Hong Kong, China"/>
        <s v="Falkland Islands"/>
        <s v="Puerto Rico (U.S.)"/>
        <s v="Finland"/>
        <s v="Belgium"/>
        <s v="Estonia"/>
        <s v="Bahamas"/>
        <s v="Austria"/>
        <s v="Georgia"/>
        <s v="Saint Kitts and Nevis"/>
        <s v="Russia"/>
        <s v="Australia"/>
        <s v="Turkey"/>
        <s v="Singapore"/>
        <s v="Ireland"/>
        <s v="Italy"/>
        <s v="Latvia"/>
        <s v="Anguilla"/>
        <s v="Slovakia"/>
        <s v="Barbados"/>
        <s v="Israel"/>
        <s v="New Caledonia"/>
        <s v="Antigua and Barbuda"/>
        <s v="Montenegro"/>
        <s v="Malaysia"/>
        <s v="Saudi Arabia"/>
        <s v="Lithuania"/>
        <s v="Cyprus"/>
        <s v="Guam"/>
        <s v="Chile"/>
        <s v="Slovenia"/>
        <s v="Malta"/>
        <s v="Czech Republic"/>
        <s v="Azerbaijan"/>
        <s v="Thailand"/>
        <s v="Cayman Islands"/>
        <s v="Bangladesh"/>
        <s v="Oman"/>
        <s v="Hungary"/>
        <s v="Brazil"/>
        <s v="North Macedonia"/>
        <s v="Trinidad and Tobago"/>
        <s v="Moldova"/>
        <s v="Kazakhstan"/>
        <s v="Argentina"/>
        <s v="Greece"/>
        <s v="Belarus"/>
        <s v="Portugal"/>
        <s v="French Polynesia"/>
        <s v="Indonesia"/>
        <s v="Albania"/>
        <s v="Dominica"/>
        <s v="Vietnam"/>
        <s v="Mexico"/>
        <s v="Venezuela"/>
        <s v="China"/>
        <s v="Ukraine"/>
        <s v="Costa Rica"/>
        <s v="Serbia"/>
        <s v="Bosnia and Herzegovina"/>
        <s v="Nigeria"/>
        <s v="Greenland"/>
        <s v="Lebanon"/>
        <s v="Armenia"/>
        <s v="Philippines"/>
        <s v="Uruguay"/>
        <s v="Guatemala"/>
        <s v="Croatia"/>
        <s v="Dominican Republic"/>
        <s v="Saint Vincent and the Grenadines"/>
        <s v="Jordan"/>
        <s v="U.S. Virgin Islands"/>
        <s v="Romania"/>
        <s v="Niue"/>
        <s v="Bulgaria"/>
        <s v="Algeria"/>
        <s v="Palestine"/>
        <s v="India"/>
        <s v="Colombia"/>
        <s v="Morocco"/>
        <s v="Nauru"/>
        <s v="Paraguay"/>
        <s v="San Marino"/>
        <s v="Nepal"/>
        <s v="Cabo Verde"/>
        <s v="Seychelles"/>
        <s v="Grenada"/>
        <s v="Panama"/>
        <s v="Montserrat"/>
        <s v="Ecuador"/>
        <s v="Egypt"/>
        <s v="Pakistan"/>
        <s v="Djibouti"/>
        <s v="Mauritius"/>
        <s v="Tunisia"/>
        <s v="South Africa"/>
        <s v="Maldives"/>
        <s v="Tanzania"/>
        <s v="Bhutan"/>
        <s v="Uzbekistan"/>
        <s v="Fiji"/>
        <s v="Ghana"/>
        <s v="Saint Lucia"/>
        <s v="Cuba"/>
        <s v="Iraq"/>
        <s v="Gabon"/>
        <s v="Peru"/>
        <s v="Saint Helena, Ascension and Tristan da Cunha"/>
        <s v="Jamaica"/>
        <s v="Tuvalu"/>
        <s v="Suriname"/>
        <s v="Belize"/>
        <s v="Tonga"/>
        <s v="Bolivia"/>
        <s v="CÃ´te d'Ivoire"/>
        <s v="Botswana"/>
        <s v="Guyana"/>
        <s v="Syria"/>
        <s v="Kyrgyzstan"/>
        <s v="Eswatini"/>
        <s v="Marshall Islands"/>
        <s v="Samoa"/>
        <s v="Sri Lanka"/>
        <s v="Cambodia"/>
        <s v="Micronesia"/>
        <s v="Lesotho"/>
        <s v="Honduras"/>
        <s v="El Salvador"/>
        <s v="Zimbabwe"/>
        <s v="Myanmar"/>
        <s v="Sudan"/>
        <s v="Senegal"/>
        <s v="SÃ£o TomÃ© and PrÃ­ncipe"/>
        <s v="East Timor"/>
        <s v="Zambia"/>
        <s v="Nicaragua"/>
        <s v="Yemen"/>
        <s v="Equatorial Guinea"/>
        <s v="Laos"/>
        <s v="Vanuatu"/>
        <s v="Uganda"/>
        <s v="Mongolia"/>
        <s v="Cameroon"/>
        <s v="Rwanda"/>
        <s v="Tajikistan"/>
        <s v="Turkmenistan"/>
        <s v="Mozambique"/>
        <s v="Mauritania"/>
        <s v="Libya"/>
        <s v="Gambia"/>
        <s v="Ethiopia"/>
        <s v="Kenya"/>
        <s v="Burkina Faso"/>
        <s v="Kiribati"/>
        <s v="Malawi"/>
        <s v="Angola"/>
        <s v="Benin"/>
        <s v="Sierra Leone"/>
        <s v="Mali"/>
        <s v="Togo"/>
        <s v="Haiti"/>
        <s v="Wallis and Futuna"/>
        <s v="Guinea"/>
        <s v="Solomon Islands"/>
        <s v="Afghanistan"/>
        <s v="Papua New Guinea"/>
        <s v="Niger"/>
        <s v="Madagascar"/>
        <s v="South Sudan"/>
        <s v="Congo"/>
        <s v="Democratic Republic of the Congo"/>
        <s v="Comoros"/>
        <s v="Liberia"/>
        <s v="Chad"/>
        <s v="Burundi"/>
        <s v="Central African Republic"/>
        <s v="Guinea-Bissau"/>
        <s v="Somalia"/>
        <s v="Eritrea"/>
      </sharedItems>
    </cacheField>
    <cacheField name="Continental region" numFmtId="0">
      <sharedItems count="13">
        <s v="WESTERN EUROPE"/>
        <s v="NEAR EAST"/>
        <s v="CARIBBEAN"/>
        <s v="ASIA (EX. NEAR EAST)"/>
        <s v="NORTHERN AMERICA"/>
        <s v="EASTERN EUROPE"/>
        <s v="OCEANIA"/>
        <s v="SOUTH AMERICA"/>
        <s v="BALTICS"/>
        <s v="CIS (FORMER USSR)"/>
        <s v="CENTRAL AMERICA"/>
        <s v="SUB-SAHARAN AFRICA"/>
        <s v="NORTHERN AFRICA"/>
      </sharedItems>
    </cacheField>
    <cacheField name="Average price of 1GB (USD)" numFmtId="0">
      <sharedItems containsMixedTypes="1" containsNumber="1" minValue="0.05" maxValue="49.67"/>
    </cacheField>
    <cacheField name="Cheapest 1GB for 30 days (USD)" numFmtId="0">
      <sharedItems containsString="0" containsBlank="1" containsNumber="1" minValue="0" maxValue="45.16"/>
    </cacheField>
    <cacheField name="Most expensive 1GB (USD)" numFmtId="0">
      <sharedItems containsString="0" containsBlank="1" containsNumber="1" minValue="0.63" maxValue="768.87"/>
    </cacheField>
    <cacheField name="Average price of 1GB (USD at the start of 2021)" numFmtId="0">
      <sharedItems containsBlank="1" containsMixedTypes="1" containsNumber="1" minValue="0.09" maxValue="52.5"/>
    </cacheField>
    <cacheField name="Average price of 1GB (USD at start of 2020)" numFmtId="0">
      <sharedItems containsBlank="1" containsMixedTypes="1" containsNumber="1" minValue="0.26" maxValue="65.83"/>
    </cacheField>
    <cacheField name="Internet users" numFmtId="3">
      <sharedItems containsSemiMixedTypes="0" containsString="0" containsNumber="1" containsInteger="1" minValue="1034" maxValue="1010740000"/>
    </cacheField>
    <cacheField name="Population" numFmtId="3">
      <sharedItems containsSemiMixedTypes="0" containsString="0" containsNumber="1" containsInteger="1" minValue="1620" maxValue="1427647786"/>
    </cacheField>
    <cacheField name="Avg _x000a_(Mbit/s)Ookla" numFmtId="0">
      <sharedItems containsString="0" containsBlank="1" containsNumber="1" minValue="4.8899999999999997" maxValue="135.35"/>
    </cacheField>
    <cacheField name="% users" numFmtId="9">
      <sharedItems containsSemiMixedTypes="0" containsString="0" containsNumber="1" minValue="1.9231426448091483E-2" maxValue="0.991752067138173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2">
  <r>
    <x v="0"/>
    <x v="0"/>
    <n v="2.64"/>
    <n v="1.1000000000000001"/>
    <n v="163.9"/>
    <n v="2.41"/>
    <n v="9.7799999999999994"/>
    <n v="48097"/>
    <n v="48497"/>
    <m/>
    <n v="0.99175206713817354"/>
  </r>
  <r>
    <x v="1"/>
    <x v="0"/>
    <n v="7.49"/>
    <n v="1.06"/>
    <n v="65.069999999999993"/>
    <n v="9.5399999999999991"/>
    <n v="12.58"/>
    <n v="76095"/>
    <n v="77006"/>
    <m/>
    <n v="0.9881697530062592"/>
  </r>
  <r>
    <x v="2"/>
    <x v="0"/>
    <n v="3.1"/>
    <n v="0.19"/>
    <n v="24.06"/>
    <n v="4.01"/>
    <n v="7.99"/>
    <n v="37201"/>
    <n v="37910"/>
    <m/>
    <n v="0.98129781060406229"/>
  </r>
  <r>
    <x v="3"/>
    <x v="1"/>
    <n v="0.81"/>
    <n v="0.01"/>
    <n v="6.29"/>
    <n v="0.77"/>
    <n v="2.0099999999999998"/>
    <n v="4053797"/>
    <n v="4137312"/>
    <n v="96.23"/>
    <n v="0.97981418853593827"/>
  </r>
  <r>
    <x v="4"/>
    <x v="0"/>
    <n v="1.23"/>
    <n v="0.16"/>
    <n v="17.29"/>
    <n v="1.46"/>
    <n v="3.78"/>
    <n v="329196"/>
    <n v="336713"/>
    <m/>
    <n v="0.97767534963010039"/>
  </r>
  <r>
    <x v="5"/>
    <x v="0"/>
    <n v="1.08"/>
    <n v="0.84"/>
    <n v="2.37"/>
    <n v="0.98"/>
    <n v="1.21"/>
    <n v="37553"/>
    <n v="38682"/>
    <m/>
    <n v="0.97081329817486173"/>
  </r>
  <r>
    <x v="6"/>
    <x v="0"/>
    <n v="1.42"/>
    <n v="0.11"/>
    <n v="71.290000000000006"/>
    <n v="1.39"/>
    <n v="6.66"/>
    <n v="65001016"/>
    <n v="67141684"/>
    <n v="48.1"/>
    <n v="0.96811715357035133"/>
  </r>
  <r>
    <x v="7"/>
    <x v="2"/>
    <n v="4.4400000000000004"/>
    <n v="0.74"/>
    <n v="8.9600000000000009"/>
    <n v="9.11"/>
    <n v="5.56"/>
    <n v="102285"/>
    <n v="105845"/>
    <n v="108.33"/>
    <n v="0.96636591241910341"/>
  </r>
  <r>
    <x v="8"/>
    <x v="3"/>
    <n v="4.72"/>
    <n v="0.06"/>
    <n v="96.88"/>
    <n v="10.94"/>
    <n v="9.2100000000000009"/>
    <n v="49421084"/>
    <n v="51171706"/>
    <n v="117.95"/>
    <n v="0.96578925861881559"/>
  </r>
  <r>
    <x v="9"/>
    <x v="0"/>
    <n v="2.78"/>
    <n v="1.67"/>
    <n v="2.98"/>
    <n v="7.38"/>
    <n v="3.1"/>
    <n v="32494"/>
    <n v="33718"/>
    <m/>
    <n v="0.96369891452636569"/>
  </r>
  <r>
    <x v="10"/>
    <x v="4"/>
    <n v="19.8"/>
    <n v="4.17"/>
    <n v="100"/>
    <n v="28.75"/>
    <n v="37.74"/>
    <n v="60349"/>
    <n v="62756"/>
    <m/>
    <n v="0.96164510166358597"/>
  </r>
  <r>
    <x v="11"/>
    <x v="0"/>
    <n v="5.81"/>
    <n v="1.74"/>
    <n v="29.03"/>
    <n v="5.28"/>
    <n v="5.33"/>
    <n v="5120225"/>
    <n v="5337962"/>
    <n v="134.72999999999999"/>
    <n v="0.95920971337000904"/>
  </r>
  <r>
    <x v="12"/>
    <x v="0"/>
    <n v="1.45"/>
    <n v="0.2"/>
    <n v="75.08"/>
    <n v="2.0699999999999998"/>
    <n v="3.66"/>
    <n v="9554907"/>
    <n v="9971638"/>
    <n v="73.61"/>
    <n v="0.95820837058064079"/>
  </r>
  <r>
    <x v="13"/>
    <x v="4"/>
    <n v="3.33"/>
    <n v="1"/>
    <n v="30"/>
    <n v="8"/>
    <n v="8.34"/>
    <n v="312320000"/>
    <n v="327096265"/>
    <n v="61.12"/>
    <n v="0.95482594397707354"/>
  </r>
  <r>
    <x v="14"/>
    <x v="3"/>
    <n v="1.52"/>
    <n v="0.22"/>
    <n v="6.21"/>
    <n v="0.75"/>
    <n v="1.88"/>
    <n v="78086663"/>
    <n v="81800188"/>
    <n v="24.9"/>
    <n v="0.95460248819966043"/>
  </r>
  <r>
    <x v="15"/>
    <x v="3"/>
    <n v="2.23"/>
    <n v="1.78"/>
    <n v="7.43"/>
    <n v="2.64"/>
    <n v="8.51"/>
    <n v="406705"/>
    <n v="428963"/>
    <n v="71.38"/>
    <n v="0.9481120749342018"/>
  </r>
  <r>
    <x v="16"/>
    <x v="0"/>
    <n v="3"/>
    <n v="1.42"/>
    <n v="7.1"/>
    <n v="3.89"/>
    <n v="13.95"/>
    <n v="570794"/>
    <n v="604245"/>
    <n v="82.85"/>
    <n v="0.94464000529586512"/>
  </r>
  <r>
    <x v="17"/>
    <x v="0"/>
    <n v="0.79"/>
    <n v="0"/>
    <n v="2.23"/>
    <n v="0.8"/>
    <n v="1.36"/>
    <n v="5407278"/>
    <n v="5752126"/>
    <n v="105.65"/>
    <n v="0.94004860116068389"/>
  </r>
  <r>
    <x v="18"/>
    <x v="0"/>
    <n v="3.38"/>
    <n v="0.35"/>
    <n v="11.83"/>
    <n v="4.0599999999999996"/>
    <n v="6.96"/>
    <n v="77794405"/>
    <n v="83124418"/>
    <n v="55.7"/>
    <n v="0.93587909391437785"/>
  </r>
  <r>
    <x v="19"/>
    <x v="0"/>
    <n v="5.24"/>
    <n v="1.6"/>
    <n v="17.829999999999998"/>
    <n v="8.3800000000000008"/>
    <n v="20.22"/>
    <n v="7942864"/>
    <n v="8525611"/>
    <n v="82.29"/>
    <n v="0.93164747957653704"/>
  </r>
  <r>
    <x v="7"/>
    <x v="2"/>
    <n v="4.4400000000000004"/>
    <n v="0.74"/>
    <n v="8.9600000000000009"/>
    <n v="9.11"/>
    <n v="5.56"/>
    <n v="15877494"/>
    <n v="17059560"/>
    <n v="108.33"/>
    <n v="0.93070946730161852"/>
  </r>
  <r>
    <x v="20"/>
    <x v="1"/>
    <n v="7.62"/>
    <n v="0.8"/>
    <n v="34.299999999999997"/>
    <n v="3.78"/>
    <n v="10.23"/>
    <n v="8913217"/>
    <n v="9630959"/>
    <n v="135.35"/>
    <n v="0.92547554194758797"/>
  </r>
  <r>
    <x v="21"/>
    <x v="3"/>
    <n v="5.67"/>
    <n v="0.42"/>
    <n v="46.67"/>
    <n v="5.91"/>
    <n v="12.02"/>
    <n v="21920626"/>
    <n v="23726460"/>
    <n v="53.93"/>
    <n v="0.92388944663468553"/>
  </r>
  <r>
    <x v="22"/>
    <x v="3"/>
    <n v="3.38"/>
    <n v="0.88"/>
    <n v="45.53"/>
    <n v="3.91"/>
    <n v="10.4"/>
    <n v="117400000"/>
    <n v="127202192"/>
    <n v="44.05"/>
    <n v="0.92294007008935819"/>
  </r>
  <r>
    <x v="23"/>
    <x v="4"/>
    <n v="5.72"/>
    <n v="0.8"/>
    <n v="79.540000000000006"/>
    <n v="12.55"/>
    <n v="13.21"/>
    <n v="33950632"/>
    <n v="37064562"/>
    <n v="75.180000000000007"/>
    <n v="0.9159863267775834"/>
  </r>
  <r>
    <x v="24"/>
    <x v="0"/>
    <n v="0.41"/>
    <n v="0.09"/>
    <n v="118.2"/>
    <n v="0.81"/>
    <n v="1.21"/>
    <n v="59470000"/>
    <n v="64990511"/>
    <n v="60.94"/>
    <n v="0.91505666111780537"/>
  </r>
  <r>
    <x v="25"/>
    <x v="5"/>
    <n v="0.64"/>
    <n v="0.03"/>
    <n v="23.02"/>
    <n v="0.7"/>
    <n v="1.32"/>
    <n v="34697848"/>
    <n v="37921592"/>
    <n v="40.14"/>
    <n v="0.91498922302629071"/>
  </r>
  <r>
    <x v="26"/>
    <x v="1"/>
    <n v="2.12"/>
    <n v="1.27"/>
    <n v="8.49"/>
    <n v="2.27"/>
    <n v="2"/>
    <n v="1431090"/>
    <n v="1569446"/>
    <n v="53.08"/>
    <n v="0.91184405197757679"/>
  </r>
  <r>
    <x v="27"/>
    <x v="1"/>
    <n v="3.2"/>
    <n v="1.1000000000000001"/>
    <n v="4.3899999999999997"/>
    <n v="4.12"/>
    <n v="12.57"/>
    <n v="2532059"/>
    <n v="2781682"/>
    <n v="120.69"/>
    <n v="0.91026184876632199"/>
  </r>
  <r>
    <x v="28"/>
    <x v="0"/>
    <n v="1.24"/>
    <n v="0.56999999999999995"/>
    <n v="57.98"/>
    <n v="1.81"/>
    <n v="0.56000000000000005"/>
    <n v="42400756"/>
    <n v="46692858"/>
    <n v="34.26"/>
    <n v="0.90807797629350506"/>
  </r>
  <r>
    <x v="29"/>
    <x v="6"/>
    <n v="6.99"/>
    <n v="1.22"/>
    <n v="27.98"/>
    <n v="6.06"/>
    <n v="9.7899999999999991"/>
    <n v="4273353"/>
    <n v="4743131"/>
    <n v="49.49"/>
    <n v="0.90095614057465412"/>
  </r>
  <r>
    <x v="30"/>
    <x v="3"/>
    <n v="2.2999999999999998"/>
    <n v="0.21"/>
    <n v="10.73"/>
    <n v="2.5499999999999998"/>
    <n v="7.15"/>
    <n v="6585678"/>
    <n v="7371730"/>
    <n v="47.34"/>
    <n v="0.89336939904201595"/>
  </r>
  <r>
    <x v="31"/>
    <x v="7"/>
    <n v="44.56"/>
    <n v="29.71"/>
    <n v="82.26"/>
    <n v="40.409999999999997"/>
    <n v="55.47"/>
    <n v="2881"/>
    <n v="3234"/>
    <m/>
    <n v="0.89084724799010517"/>
  </r>
  <r>
    <x v="32"/>
    <x v="2"/>
    <n v="4"/>
    <n v="0.5"/>
    <n v="20"/>
    <n v="9.17"/>
    <n v="14.61"/>
    <n v="2664928"/>
    <n v="3039596"/>
    <m/>
    <n v="0.87673756643975054"/>
  </r>
  <r>
    <x v="33"/>
    <x v="0"/>
    <n v="0.97"/>
    <n v="0.26"/>
    <n v="1.63"/>
    <n v="2.14"/>
    <n v="1.1599999999999999"/>
    <n v="4831170"/>
    <n v="5522576"/>
    <n v="71.23"/>
    <n v="0.87480371478817132"/>
  </r>
  <r>
    <x v="34"/>
    <x v="0"/>
    <n v="5.28"/>
    <n v="1.48"/>
    <n v="21.3"/>
    <n v="4.88"/>
    <n v="3.12"/>
    <n v="10021242"/>
    <n v="11482178"/>
    <n v="58.65"/>
    <n v="0.87276490575220134"/>
  </r>
  <r>
    <x v="35"/>
    <x v="8"/>
    <n v="1.39"/>
    <n v="0.35"/>
    <n v="18.93"/>
    <n v="1.27"/>
    <n v="3.67"/>
    <n v="1153786"/>
    <n v="1322920"/>
    <n v="55.07"/>
    <n v="0.87215099930456863"/>
  </r>
  <r>
    <x v="36"/>
    <x v="2"/>
    <n v="5.98"/>
    <n v="3.99"/>
    <n v="10.74"/>
    <n v="6.02"/>
    <n v="4.9400000000000004"/>
    <n v="336057"/>
    <n v="385637"/>
    <n v="26.77"/>
    <n v="0.8714334983417048"/>
  </r>
  <r>
    <x v="37"/>
    <x v="0"/>
    <n v="1.17"/>
    <n v="0.24"/>
    <n v="23.43"/>
    <n v="1.08"/>
    <n v="1.88"/>
    <n v="7681957"/>
    <n v="8891388"/>
    <n v="56.6"/>
    <n v="0.86397725529467395"/>
  </r>
  <r>
    <x v="38"/>
    <x v="9"/>
    <n v="1.8"/>
    <n v="0.3"/>
    <n v="7.98"/>
    <n v="0.93"/>
    <n v="5.63"/>
    <n v="3446533"/>
    <n v="4002942"/>
    <n v="30.67"/>
    <n v="0.86099998451139192"/>
  </r>
  <r>
    <x v="39"/>
    <x v="2"/>
    <n v="3.7"/>
    <n v="1.85"/>
    <n v="24.42"/>
    <n v="11.07"/>
    <n v="14.9"/>
    <n v="44669"/>
    <n v="52441"/>
    <m/>
    <n v="0.85179535096584735"/>
  </r>
  <r>
    <x v="40"/>
    <x v="9"/>
    <n v="0.28999999999999998"/>
    <n v="0.13"/>
    <n v="1.86"/>
    <n v="0.52"/>
    <n v="0.91"/>
    <n v="124000000"/>
    <n v="145734038"/>
    <n v="20.46"/>
    <n v="0.85086505322799055"/>
  </r>
  <r>
    <x v="41"/>
    <x v="6"/>
    <n v="0.7"/>
    <n v="0.1"/>
    <n v="7.62"/>
    <n v="0.68"/>
    <n v="2.4700000000000002"/>
    <n v="21159515"/>
    <n v="24898152"/>
    <n v="76.52"/>
    <n v="0.84984279154533238"/>
  </r>
  <r>
    <x v="42"/>
    <x v="1"/>
    <n v="0.63"/>
    <n v="0.05"/>
    <n v="2.2599999999999998"/>
    <n v="0.72"/>
    <n v="2.25"/>
    <n v="69945905"/>
    <n v="82340088"/>
    <n v="30.48"/>
    <n v="0.84947571345806672"/>
  </r>
  <r>
    <x v="43"/>
    <x v="3"/>
    <n v="1.0900000000000001"/>
    <n v="0.25"/>
    <n v="74.319999999999993"/>
    <n v="2.4700000000000002"/>
    <n v="2.87"/>
    <n v="4821119"/>
    <n v="5757499"/>
    <n v="67.989999999999995"/>
    <n v="0.837363410744839"/>
  </r>
  <r>
    <x v="44"/>
    <x v="0"/>
    <n v="1.42"/>
    <n v="0.13"/>
    <n v="11.64"/>
    <n v="1.36"/>
    <n v="3.95"/>
    <n v="4024552"/>
    <n v="4818690"/>
    <n v="30.16"/>
    <n v="0.83519628778775978"/>
  </r>
  <r>
    <x v="45"/>
    <x v="0"/>
    <n v="0.27"/>
    <n v="0.09"/>
    <n v="3.54"/>
    <n v="0.43"/>
    <n v="1.73"/>
    <n v="50540000"/>
    <n v="60627291"/>
    <n v="37.15"/>
    <n v="0.83361798237034868"/>
  </r>
  <r>
    <x v="46"/>
    <x v="8"/>
    <n v="3.49"/>
    <n v="0.28999999999999998"/>
    <n v="70.87"/>
    <n v="3.79"/>
    <n v="18.12"/>
    <n v="1585471"/>
    <n v="1928459"/>
    <n v="41.6"/>
    <n v="0.82214400202441429"/>
  </r>
  <r>
    <x v="47"/>
    <x v="2"/>
    <n v="3.85"/>
    <n v="1.1100000000000001"/>
    <n v="15.91"/>
    <n v="5.92"/>
    <n v="14.12"/>
    <n v="12043"/>
    <n v="14731"/>
    <m/>
    <n v="0.8175276627520196"/>
  </r>
  <r>
    <x v="48"/>
    <x v="5"/>
    <n v="3.55"/>
    <n v="1.04"/>
    <n v="35.5"/>
    <n v="3.84"/>
    <n v="7.38"/>
    <n v="4446926"/>
    <n v="5453014"/>
    <n v="33.44"/>
    <n v="0.81549873152718844"/>
  </r>
  <r>
    <x v="49"/>
    <x v="2"/>
    <n v="6.79"/>
    <n v="4.9400000000000004"/>
    <n v="64.239999999999995"/>
    <n v="9.32"/>
    <n v="15.82"/>
    <n v="233604"/>
    <n v="286641"/>
    <m/>
    <n v="0.81497064272033659"/>
  </r>
  <r>
    <x v="50"/>
    <x v="1"/>
    <n v="0.05"/>
    <n v="0.02"/>
    <n v="20.95"/>
    <n v="0.11"/>
    <n v="0.9"/>
    <n v="6788737"/>
    <n v="8381516"/>
    <n v="28.01"/>
    <n v="0.80996528551636726"/>
  </r>
  <r>
    <x v="51"/>
    <x v="6"/>
    <n v="6.49"/>
    <n v="2.1"/>
    <n v="210.16"/>
    <n v="4.8099999999999996"/>
    <n v="7.21"/>
    <n v="226557"/>
    <n v="279993"/>
    <m/>
    <n v="0.8091523716664345"/>
  </r>
  <r>
    <x v="52"/>
    <x v="2"/>
    <n v="4.4400000000000004"/>
    <n v="1.48"/>
    <n v="42.18"/>
    <n v="7.17"/>
    <n v="12.7"/>
    <n v="77529"/>
    <n v="96286"/>
    <m/>
    <n v="0.80519494007436176"/>
  </r>
  <r>
    <x v="53"/>
    <x v="5"/>
    <n v="2.12"/>
    <n v="0.14000000000000001"/>
    <n v="5.9"/>
    <n v="3.94"/>
    <n v="2.83"/>
    <n v="505055"/>
    <n v="627809"/>
    <n v="41.93"/>
    <n v="0.80447237933830196"/>
  </r>
  <r>
    <x v="54"/>
    <x v="3"/>
    <n v="0.89"/>
    <n v="0.12"/>
    <n v="7.26"/>
    <n v="1.1200000000000001"/>
    <n v="1.66"/>
    <n v="25343685"/>
    <n v="31528033"/>
    <n v="25.87"/>
    <n v="0.80384605661888264"/>
  </r>
  <r>
    <x v="55"/>
    <x v="1"/>
    <n v="1.47"/>
    <n v="0.33"/>
    <n v="13.33"/>
    <n v="2.12"/>
    <n v="5.62"/>
    <n v="27048861"/>
    <n v="33702756"/>
    <n v="102.79"/>
    <n v="0.8025711903204592"/>
  </r>
  <r>
    <x v="56"/>
    <x v="8"/>
    <n v="1.38"/>
    <n v="0.09"/>
    <n v="17.75"/>
    <n v="1.85"/>
    <n v="2.06"/>
    <n v="2243448"/>
    <n v="2801264"/>
    <n v="50.13"/>
    <n v="0.80086989301972256"/>
  </r>
  <r>
    <x v="57"/>
    <x v="1"/>
    <n v="8.84"/>
    <n v="2.06"/>
    <n v="59.1"/>
    <n v="13.56"/>
    <n v="20.25"/>
    <n v="952369"/>
    <n v="1189265"/>
    <n v="75.48"/>
    <n v="0.8008046987004579"/>
  </r>
  <r>
    <x v="58"/>
    <x v="6"/>
    <n v="2.14"/>
    <n v="1"/>
    <n v="70"/>
    <n v="2"/>
    <n v="4.26"/>
    <n v="132221"/>
    <n v="165768"/>
    <m/>
    <n v="0.79762680372568895"/>
  </r>
  <r>
    <x v="59"/>
    <x v="7"/>
    <n v="0.39"/>
    <n v="0.24"/>
    <n v="1.83"/>
    <n v="0.71"/>
    <n v="1.87"/>
    <n v="14864456"/>
    <n v="18729160"/>
    <n v="22.49"/>
    <n v="0.79365310563848035"/>
  </r>
  <r>
    <x v="60"/>
    <x v="5"/>
    <n v="1.72"/>
    <n v="0.02"/>
    <n v="88.68"/>
    <n v="1.48"/>
    <n v="2.21"/>
    <n v="1640893"/>
    <n v="2077837"/>
    <n v="54.57"/>
    <n v="0.78971209002438592"/>
  </r>
  <r>
    <x v="61"/>
    <x v="0"/>
    <n v="2.0099999999999998"/>
    <n v="0.82"/>
    <n v="59.04"/>
    <n v="3.62"/>
    <n v="13.1"/>
    <n v="344970"/>
    <n v="439248"/>
    <n v="49.66"/>
    <n v="0.78536498743306737"/>
  </r>
  <r>
    <x v="62"/>
    <x v="5"/>
    <n v="8.15"/>
    <n v="0.94"/>
    <n v="36.049999999999997"/>
    <n v="7.95"/>
    <n v="32.71"/>
    <n v="8358728"/>
    <n v="10665677"/>
    <n v="44.55"/>
    <n v="0.78370346298692528"/>
  </r>
  <r>
    <x v="63"/>
    <x v="9"/>
    <n v="1.82"/>
    <n v="0.24"/>
    <n v="9.8000000000000007"/>
    <n v="1.86"/>
    <n v="6.42"/>
    <n v="7763795"/>
    <n v="9949537"/>
    <n v="30.4"/>
    <n v="0.7803172147608477"/>
  </r>
  <r>
    <x v="64"/>
    <x v="3"/>
    <n v="1.06"/>
    <n v="0.34"/>
    <n v="10.32"/>
    <n v="1.23"/>
    <n v="2.78"/>
    <n v="54043108"/>
    <n v="69428453"/>
    <n v="33.49"/>
    <n v="0.77840000266173293"/>
  </r>
  <r>
    <x v="65"/>
    <x v="2"/>
    <n v="11.97"/>
    <n v="4.79"/>
    <n v="41.48"/>
    <n v="23.05"/>
    <n v="26.79"/>
    <n v="49906"/>
    <n v="64174"/>
    <m/>
    <n v="0.77766696793093781"/>
  </r>
  <r>
    <x v="66"/>
    <x v="3"/>
    <n v="0.34"/>
    <n v="0.11"/>
    <n v="2.2200000000000002"/>
    <n v="0.7"/>
    <n v="0.99"/>
    <n v="129180000"/>
    <n v="166303498"/>
    <n v="10.43"/>
    <n v="0.77677259680971955"/>
  </r>
  <r>
    <x v="67"/>
    <x v="1"/>
    <n v="2.12"/>
    <n v="0.13"/>
    <n v="8.67"/>
    <n v="4.58"/>
    <n v="11.28"/>
    <n v="3717818"/>
    <n v="4829473"/>
    <n v="44.47"/>
    <n v="0.76981857026636236"/>
  </r>
  <r>
    <x v="68"/>
    <x v="5"/>
    <n v="1.7"/>
    <n v="0.16"/>
    <n v="8.0399999999999991"/>
    <n v="5.32"/>
    <n v="2.91"/>
    <n v="7461297"/>
    <n v="9707499"/>
    <n v="41.32"/>
    <n v="0.76861166815469151"/>
  </r>
  <r>
    <x v="69"/>
    <x v="7"/>
    <n v="0.92"/>
    <n v="0.18"/>
    <n v="2.72"/>
    <n v="1.01"/>
    <n v="3.5"/>
    <n v="160010801"/>
    <n v="209469323"/>
    <n v="22.3"/>
    <n v="0.76388656204326399"/>
  </r>
  <r>
    <x v="70"/>
    <x v="5"/>
    <n v="0.96"/>
    <n v="0.48"/>
    <n v="9.6"/>
    <n v="1.75"/>
    <n v="3.62"/>
    <n v="1589659"/>
    <n v="2082957"/>
    <n v="64.23"/>
    <n v="0.76317417978383617"/>
  </r>
  <r>
    <x v="71"/>
    <x v="2"/>
    <n v="1.9"/>
    <n v="0.21"/>
    <n v="143.18"/>
    <n v="5.92"/>
    <n v="2.69"/>
    <n v="1058744"/>
    <n v="1389843"/>
    <n v="28.37"/>
    <n v="0.7617723728507465"/>
  </r>
  <r>
    <x v="72"/>
    <x v="5"/>
    <n v="0.32"/>
    <n v="7.0000000000000007E-2"/>
    <n v="2.79"/>
    <n v="1.1200000000000001"/>
    <n v="2.82"/>
    <n v="3083783"/>
    <n v="4051944"/>
    <n v="29.46"/>
    <n v="0.76106259119079633"/>
  </r>
  <r>
    <x v="73"/>
    <x v="9"/>
    <n v="0.59"/>
    <n v="0.25"/>
    <n v="2.35"/>
    <n v="0.46"/>
    <n v="0.49"/>
    <n v="13913699"/>
    <n v="18319618"/>
    <n v="18.71"/>
    <n v="0.75949722314078816"/>
  </r>
  <r>
    <x v="74"/>
    <x v="7"/>
    <n v="2.38"/>
    <n v="0.44"/>
    <n v="11.47"/>
    <n v="1.45"/>
    <n v="7.4"/>
    <n v="33561876"/>
    <n v="44361150"/>
    <n v="20.64"/>
    <n v="0.75656009819402792"/>
  </r>
  <r>
    <x v="75"/>
    <x v="0"/>
    <n v="8.16"/>
    <n v="1.06"/>
    <n v="768.87"/>
    <n v="12.06"/>
    <n v="4.91"/>
    <n v="7923438"/>
    <n v="10522246"/>
    <n v="59.42"/>
    <n v="0.7530177492523934"/>
  </r>
  <r>
    <x v="76"/>
    <x v="9"/>
    <n v="0.43"/>
    <n v="0.02"/>
    <n v="16.62"/>
    <n v="0.89"/>
    <n v="2.36"/>
    <n v="7048231"/>
    <n v="9452617"/>
    <n v="9.99"/>
    <n v="0.74563805980925701"/>
  </r>
  <r>
    <x v="77"/>
    <x v="0"/>
    <n v="3.85"/>
    <n v="1.18"/>
    <n v="14.15"/>
    <n v="4.97"/>
    <n v="13.98"/>
    <n v="7622142"/>
    <n v="10256193"/>
    <n v="64.3"/>
    <n v="0.74317458729569541"/>
  </r>
  <r>
    <x v="78"/>
    <x v="6"/>
    <n v="4.2"/>
    <n v="1.65"/>
    <n v="52.66"/>
    <n v="15.42"/>
    <n v="4.96"/>
    <n v="205746"/>
    <n v="277679"/>
    <m/>
    <n v="0.74094908149337901"/>
  </r>
  <r>
    <x v="79"/>
    <x v="3"/>
    <n v="0.42"/>
    <n v="0.17"/>
    <n v="2.94"/>
    <n v="0.64"/>
    <n v="2.99"/>
    <n v="196000000"/>
    <n v="267670543"/>
    <n v="17.7"/>
    <n v="0.73224344301494548"/>
  </r>
  <r>
    <x v="80"/>
    <x v="5"/>
    <n v="2.8"/>
    <n v="0.72"/>
    <n v="96.39"/>
    <n v="2.83"/>
    <n v="5.28"/>
    <n v="2105339"/>
    <n v="2882740"/>
    <n v="40.479999999999997"/>
    <n v="0.73032566239064223"/>
  </r>
  <r>
    <x v="81"/>
    <x v="2"/>
    <n v="1.76"/>
    <n v="1.1100000000000001"/>
    <n v="14.62"/>
    <n v="4.92"/>
    <n v="14.6"/>
    <n v="51467"/>
    <n v="71625"/>
    <m/>
    <n v="0.7185619546247819"/>
  </r>
  <r>
    <x v="82"/>
    <x v="3"/>
    <n v="0.49"/>
    <n v="7.0000000000000007E-2"/>
    <n v="5.55"/>
    <n v="0.56999999999999995"/>
    <n v="1.31"/>
    <n v="68172134"/>
    <n v="95545962"/>
    <n v="33.9"/>
    <n v="0.71350094313771206"/>
  </r>
  <r>
    <x v="83"/>
    <x v="10"/>
    <n v="3.62"/>
    <n v="1.2"/>
    <n v="12.06"/>
    <n v="4.7699999999999996"/>
    <n v="15.05"/>
    <n v="92010000"/>
    <n v="128972439"/>
    <n v="29.81"/>
    <n v="0.7134082344523236"/>
  </r>
  <r>
    <x v="84"/>
    <x v="7"/>
    <s v="HYPERINFLATION"/>
    <m/>
    <m/>
    <m/>
    <m/>
    <n v="20564451"/>
    <n v="28887118"/>
    <n v="5.68"/>
    <n v="0.71189001962743392"/>
  </r>
  <r>
    <x v="85"/>
    <x v="3"/>
    <n v="0.52"/>
    <n v="0.3"/>
    <n v="1.21"/>
    <n v="0.61"/>
    <n v="9.89"/>
    <n v="1010740000"/>
    <n v="1427647786"/>
    <n v="83.43"/>
    <n v="0.70797574157411958"/>
  </r>
  <r>
    <x v="86"/>
    <x v="9"/>
    <n v="0.75"/>
    <n v="0.14000000000000001"/>
    <n v="35.880000000000003"/>
    <n v="0.46"/>
    <n v="5.93"/>
    <n v="31100000"/>
    <n v="44246156"/>
    <n v="15.62"/>
    <n v="0.70288591849651305"/>
  </r>
  <r>
    <x v="87"/>
    <x v="10"/>
    <n v="2.36"/>
    <n v="1.6"/>
    <n v="2.94"/>
    <n v="2.74"/>
    <n v="4.8899999999999997"/>
    <n v="3511549"/>
    <n v="4999441"/>
    <n v="17.46"/>
    <n v="0.70238832701496023"/>
  </r>
  <r>
    <x v="88"/>
    <x v="5"/>
    <n v="1.3"/>
    <n v="0.17"/>
    <n v="14.09"/>
    <n v="1.6"/>
    <n v="4.83"/>
    <n v="6182411"/>
    <n v="8802754"/>
    <n v="45.81"/>
    <n v="0.70232690814715482"/>
  </r>
  <r>
    <x v="89"/>
    <x v="5"/>
    <n v="2.39"/>
    <n v="0.63"/>
    <n v="21.26"/>
    <n v="3.04"/>
    <n v="3.05"/>
    <n v="2320000"/>
    <n v="3323925"/>
    <n v="28.49"/>
    <n v="0.69797002038252964"/>
  </r>
  <r>
    <x v="90"/>
    <x v="11"/>
    <n v="0.88"/>
    <n v="0.03"/>
    <n v="5.25"/>
    <n v="1.39"/>
    <n v="7.91"/>
    <n v="136203231"/>
    <n v="195874685"/>
    <n v="18.920000000000002"/>
    <n v="0.69535903018810219"/>
  </r>
  <r>
    <x v="91"/>
    <x v="4"/>
    <n v="3.97"/>
    <n v="2.2200000000000002"/>
    <n v="11.43"/>
    <n v="9.56"/>
    <n v="11.12"/>
    <n v="39242"/>
    <n v="56564"/>
    <m/>
    <n v="0.69376281733965062"/>
  </r>
  <r>
    <x v="92"/>
    <x v="1"/>
    <n v="4.8099999999999996"/>
    <n v="1.21"/>
    <n v="77.7"/>
    <n v="3.82"/>
    <n v="5.84"/>
    <n v="4755187"/>
    <n v="6859408"/>
    <n v="16.38"/>
    <n v="0.69323577194999919"/>
  </r>
  <r>
    <x v="92"/>
    <x v="1"/>
    <n v="4.8099999999999996"/>
    <n v="1.21"/>
    <n v="77.7"/>
    <n v="3.82"/>
    <n v="5.84"/>
    <n v="4755187"/>
    <n v="6859408"/>
    <n v="16.38"/>
    <n v="0.69323577194999919"/>
  </r>
  <r>
    <x v="93"/>
    <x v="9"/>
    <n v="0.76"/>
    <n v="0.22"/>
    <n v="13.02"/>
    <n v="1.05"/>
    <n v="2.5099999999999998"/>
    <n v="2043110"/>
    <n v="2951745"/>
    <n v="22.01"/>
    <n v="0.69217022473147238"/>
  </r>
  <r>
    <x v="94"/>
    <x v="3"/>
    <n v="1.77"/>
    <n v="0.95"/>
    <n v="8.2100000000000009"/>
    <n v="1.42"/>
    <n v="3.16"/>
    <n v="73003313"/>
    <n v="106651394"/>
    <n v="19.48"/>
    <n v="0.68450406752301807"/>
  </r>
  <r>
    <x v="95"/>
    <x v="7"/>
    <n v="1.51"/>
    <n v="0.1"/>
    <n v="6.33"/>
    <n v="1.58"/>
    <n v="2.8"/>
    <n v="2360269"/>
    <n v="3449285"/>
    <n v="34.43"/>
    <n v="0.68427775611467301"/>
  </r>
  <r>
    <x v="96"/>
    <x v="10"/>
    <n v="1.94"/>
    <n v="1.29"/>
    <n v="5.14"/>
    <n v="2.17"/>
    <n v="4.84"/>
    <n v="11750000"/>
    <n v="17247849"/>
    <n v="17.3"/>
    <n v="0.68124436850067505"/>
  </r>
  <r>
    <x v="97"/>
    <x v="5"/>
    <n v="2.35"/>
    <n v="0.26"/>
    <n v="12.92"/>
    <n v="2.48"/>
    <n v="4"/>
    <n v="2811056"/>
    <n v="4156405"/>
    <n v="86.48"/>
    <n v="0.67631907862684215"/>
  </r>
  <r>
    <x v="98"/>
    <x v="2"/>
    <n v="1.51"/>
    <n v="0.33"/>
    <n v="18.170000000000002"/>
    <n v="0.74"/>
    <n v="1.28"/>
    <n v="6997472"/>
    <n v="10627141"/>
    <n v="20.7"/>
    <n v="0.658452917863798"/>
  </r>
  <r>
    <x v="99"/>
    <x v="2"/>
    <n v="2.41"/>
    <n v="1.48"/>
    <n v="3.33"/>
    <n v="3.33"/>
    <n v="3.58"/>
    <n v="72048"/>
    <n v="110211"/>
    <m/>
    <n v="0.65372784930723793"/>
  </r>
  <r>
    <x v="100"/>
    <x v="1"/>
    <n v="1.41"/>
    <n v="0.24"/>
    <n v="7.05"/>
    <n v="1.03"/>
    <n v="1.79"/>
    <n v="6480202"/>
    <n v="9965318"/>
    <n v="19.47"/>
    <n v="0.65027548543859814"/>
  </r>
  <r>
    <x v="101"/>
    <x v="2"/>
    <n v="2"/>
    <n v="0.5"/>
    <n v="8.33"/>
    <n v="4.67"/>
    <n v="4.97"/>
    <n v="67535"/>
    <n v="104680"/>
    <m/>
    <n v="0.64515666794038973"/>
  </r>
  <r>
    <x v="102"/>
    <x v="5"/>
    <n v="1.18"/>
    <n v="0.11"/>
    <n v="11.83"/>
    <n v="1.03"/>
    <n v="1.89"/>
    <n v="12545558"/>
    <n v="19506114"/>
    <n v="36.9"/>
    <n v="0.64316029322908708"/>
  </r>
  <r>
    <x v="103"/>
    <x v="6"/>
    <n v="7.37"/>
    <n v="4.4800000000000004"/>
    <n v="28.69"/>
    <n v="4.5"/>
    <n v="9.1999999999999993"/>
    <n v="1034"/>
    <n v="1620"/>
    <m/>
    <n v="0.63827160493827162"/>
  </r>
  <r>
    <x v="104"/>
    <x v="5"/>
    <n v="2.2599999999999998"/>
    <n v="0.63"/>
    <n v="84.5"/>
    <n v="2.2200000000000002"/>
    <n v="11.51"/>
    <n v="4492326"/>
    <n v="7051608"/>
    <n v="87.51"/>
    <n v="0.63706405687894163"/>
  </r>
  <r>
    <x v="105"/>
    <x v="12"/>
    <n v="0.51"/>
    <n v="0.16"/>
    <n v="2.2400000000000002"/>
    <n v="0.65"/>
    <n v="5.15"/>
    <n v="26350000"/>
    <n v="42228408"/>
    <n v="12.44"/>
    <n v="0.62398752991114415"/>
  </r>
  <r>
    <x v="106"/>
    <x v="1"/>
    <n v="1.71"/>
    <n v="0.46"/>
    <n v="3.64"/>
    <n v="3.26"/>
    <n v="6.56"/>
    <n v="3208312"/>
    <n v="5159076"/>
    <n v="4.8899999999999997"/>
    <n v="0.62187725088756207"/>
  </r>
  <r>
    <x v="107"/>
    <x v="3"/>
    <n v="0.68"/>
    <n v="0.05"/>
    <n v="2.73"/>
    <n v="0.09"/>
    <n v="0.26"/>
    <n v="833710000"/>
    <n v="1352642280"/>
    <n v="13.67"/>
    <n v="0.61635660242706591"/>
  </r>
  <r>
    <x v="108"/>
    <x v="7"/>
    <n v="2.8"/>
    <n v="0.42"/>
    <n v="9.8800000000000008"/>
    <n v="3.46"/>
    <n v="3.22"/>
    <n v="30548252"/>
    <n v="49661048"/>
    <n v="12.35"/>
    <n v="0.61513506521247796"/>
  </r>
  <r>
    <x v="109"/>
    <x v="12"/>
    <n v="0.88"/>
    <n v="0.44"/>
    <n v="5.5"/>
    <n v="0.99"/>
    <n v="1.66"/>
    <n v="22072765"/>
    <n v="36029093"/>
    <n v="27.84"/>
    <n v="0.61263726511239125"/>
  </r>
  <r>
    <x v="110"/>
    <x v="6"/>
    <n v="7.62"/>
    <n v="7.62"/>
    <n v="7.62"/>
    <n v="30.47"/>
    <n v="28.13"/>
    <n v="6475"/>
    <n v="10670"/>
    <m/>
    <n v="0.6068416119962512"/>
  </r>
  <r>
    <x v="111"/>
    <x v="7"/>
    <n v="2.5299999999999998"/>
    <n v="0.73"/>
    <n v="9.1199999999999992"/>
    <n v="2.2999999999999998"/>
    <n v="11.56"/>
    <n v="4160340"/>
    <n v="6956066"/>
    <n v="15.15"/>
    <n v="0.59808805724385017"/>
  </r>
  <r>
    <x v="112"/>
    <x v="0"/>
    <n v="0.43"/>
    <n v="0.24"/>
    <n v="0.63"/>
    <n v="1.1599999999999999"/>
    <n v="6.86"/>
    <n v="20100"/>
    <n v="33785"/>
    <m/>
    <n v="0.59493858221104046"/>
  </r>
  <r>
    <x v="113"/>
    <x v="3"/>
    <n v="0.61"/>
    <n v="0.22"/>
    <n v="2.66"/>
    <n v="0.86"/>
    <n v="2.25"/>
    <n v="16190000"/>
    <n v="28095714"/>
    <n v="16.45"/>
    <n v="0.57624447629271858"/>
  </r>
  <r>
    <x v="114"/>
    <x v="11"/>
    <n v="4.78"/>
    <n v="1.07"/>
    <n v="48.35"/>
    <n v="4.8099999999999996"/>
    <n v="4.25"/>
    <n v="312315"/>
    <n v="543767"/>
    <m/>
    <n v="0.57435445696410414"/>
  </r>
  <r>
    <x v="115"/>
    <x v="11"/>
    <n v="8.64"/>
    <n v="2.36"/>
    <n v="22.67"/>
    <n v="11.43"/>
    <n v="19.55"/>
    <n v="55677"/>
    <n v="97096"/>
    <m/>
    <n v="0.57342218011040624"/>
  </r>
  <r>
    <x v="116"/>
    <x v="2"/>
    <n v="2.44"/>
    <n v="1.84"/>
    <n v="4.4400000000000004"/>
    <n v="5.37"/>
    <n v="12"/>
    <n v="63692"/>
    <n v="111454"/>
    <m/>
    <n v="0.57146446067435896"/>
  </r>
  <r>
    <x v="117"/>
    <x v="10"/>
    <n v="4.49"/>
    <n v="2"/>
    <n v="7.48"/>
    <n v="6.69"/>
    <n v="4.6900000000000004"/>
    <n v="2371852"/>
    <n v="4176869"/>
    <n v="17.03"/>
    <n v="0.56785405527441724"/>
  </r>
  <r>
    <x v="118"/>
    <x v="2"/>
    <n v="4.01"/>
    <n v="1.1100000000000001"/>
    <n v="29.23"/>
    <n v="8.33"/>
    <n v="4.92"/>
    <n v="2833"/>
    <n v="4993"/>
    <m/>
    <n v="0.5673943520929301"/>
  </r>
  <r>
    <x v="119"/>
    <x v="7"/>
    <n v="1.06"/>
    <n v="0.63"/>
    <n v="3"/>
    <n v="3.24"/>
    <n v="6.93"/>
    <n v="9521056"/>
    <n v="17084358"/>
    <n v="17.7"/>
    <n v="0.55729668039033131"/>
  </r>
  <r>
    <x v="120"/>
    <x v="12"/>
    <n v="1.04"/>
    <n v="0.02"/>
    <n v="2.38"/>
    <n v="1.0900000000000001"/>
    <n v="1.49"/>
    <n v="54740141"/>
    <n v="98423598"/>
    <n v="19.73"/>
    <n v="0.55616886714505198"/>
  </r>
  <r>
    <x v="121"/>
    <x v="3"/>
    <n v="0.59"/>
    <n v="0.06"/>
    <n v="8.59"/>
    <n v="0.69"/>
    <n v="1.85"/>
    <n v="118800000"/>
    <n v="213756286"/>
    <n v="16.73"/>
    <n v="0.55577312940401669"/>
  </r>
  <r>
    <x v="122"/>
    <x v="11"/>
    <n v="1.1200000000000001"/>
    <n v="0.47"/>
    <n v="28.01"/>
    <n v="1.1200000000000001"/>
    <n v="37.92"/>
    <n v="532849"/>
    <n v="958923"/>
    <m/>
    <n v="0.55567443892783885"/>
  </r>
  <r>
    <x v="123"/>
    <x v="11"/>
    <n v="0.75"/>
    <n v="0.04"/>
    <n v="6.49"/>
    <n v="2.48"/>
    <n v="0.51"/>
    <n v="702911"/>
    <n v="1267185"/>
    <n v="18.09"/>
    <n v="0.55470274663920427"/>
  </r>
  <r>
    <x v="124"/>
    <x v="12"/>
    <n v="1.0900000000000001"/>
    <n v="0.33"/>
    <n v="3.63"/>
    <n v="1.37"/>
    <n v="3.67"/>
    <n v="6400330"/>
    <n v="11565201"/>
    <n v="22.64"/>
    <n v="0.55341277682938672"/>
  </r>
  <r>
    <x v="125"/>
    <x v="11"/>
    <n v="2.67"/>
    <n v="0.12"/>
    <n v="34.950000000000003"/>
    <n v="4.3"/>
    <n v="7.77"/>
    <n v="31858027"/>
    <n v="57792518"/>
    <n v="33.619999999999997"/>
    <n v="0.55124829480522031"/>
  </r>
  <r>
    <x v="126"/>
    <x v="3"/>
    <n v="3.24"/>
    <n v="1.85"/>
    <n v="12.95"/>
    <n v="3.88"/>
    <n v="5.79"/>
    <n v="275717"/>
    <n v="515696"/>
    <n v="47.93"/>
    <n v="0.53465025906735753"/>
  </r>
  <r>
    <x v="127"/>
    <x v="11"/>
    <n v="0.75"/>
    <n v="0.28000000000000003"/>
    <n v="4.3099999999999996"/>
    <n v="0.73"/>
    <n v="3.71"/>
    <n v="30000000"/>
    <n v="56313438"/>
    <n v="10.39"/>
    <n v="0.53273252469508259"/>
  </r>
  <r>
    <x v="128"/>
    <x v="3"/>
    <n v="0.83"/>
    <n v="0.33"/>
    <n v="1.06"/>
    <n v="1.1599999999999999"/>
    <n v="1.49"/>
    <n v="388541"/>
    <n v="754388"/>
    <m/>
    <n v="0.51504133151640796"/>
  </r>
  <r>
    <x v="129"/>
    <x v="9"/>
    <n v="0.6"/>
    <n v="0.01"/>
    <n v="23.75"/>
    <n v="1.34"/>
    <n v="3.27"/>
    <n v="16692456"/>
    <n v="32476244"/>
    <n v="13.27"/>
    <n v="0.51398973354184674"/>
  </r>
  <r>
    <x v="130"/>
    <x v="6"/>
    <n v="0.19"/>
    <n v="0.05"/>
    <n v="0.85"/>
    <n v="0.59"/>
    <n v="3.57"/>
    <n v="452479"/>
    <n v="883483"/>
    <n v="25.99"/>
    <n v="0.51215360114456077"/>
  </r>
  <r>
    <x v="131"/>
    <x v="11"/>
    <n v="0.66"/>
    <n v="0.17"/>
    <n v="3.47"/>
    <n v="0.94"/>
    <n v="1.56"/>
    <n v="15065541"/>
    <n v="29767102"/>
    <n v="8.44"/>
    <n v="0.50611379636485943"/>
  </r>
  <r>
    <x v="132"/>
    <x v="2"/>
    <n v="2.62"/>
    <n v="1.46"/>
    <n v="4.4400000000000004"/>
    <n v="3.27"/>
    <n v="4.84"/>
    <n v="90889"/>
    <n v="181889"/>
    <m/>
    <n v="0.4996948688485835"/>
  </r>
  <r>
    <x v="133"/>
    <x v="2"/>
    <n v="7.5"/>
    <n v="3.2"/>
    <n v="12.5"/>
    <n v="13.33"/>
    <s v="NO PACKAGES"/>
    <n v="5638956"/>
    <n v="11338134"/>
    <n v="9.1"/>
    <n v="0.49734427199396303"/>
  </r>
  <r>
    <x v="134"/>
    <x v="1"/>
    <n v="1.1399999999999999"/>
    <n v="0.68"/>
    <n v="27.35"/>
    <n v="4.2"/>
    <n v="8"/>
    <n v="18892351"/>
    <n v="38433600"/>
    <n v="39.9"/>
    <n v="0.49155819387202865"/>
  </r>
  <r>
    <x v="135"/>
    <x v="11"/>
    <n v="4.82"/>
    <n v="1.06"/>
    <n v="18.059999999999999"/>
    <n v="4.8899999999999997"/>
    <n v="3.39"/>
    <n v="1040000"/>
    <n v="2119275"/>
    <m/>
    <n v="0.49073385945665382"/>
  </r>
  <r>
    <x v="136"/>
    <x v="7"/>
    <n v="1.1499999999999999"/>
    <n v="0.85"/>
    <n v="15.58"/>
    <n v="2.13"/>
    <n v="2.48"/>
    <n v="15674241"/>
    <n v="31989260"/>
    <n v="15.64"/>
    <n v="0.48998448229186919"/>
  </r>
  <r>
    <x v="137"/>
    <x v="11"/>
    <n v="39.869999999999997"/>
    <n v="38.57"/>
    <n v="51.42"/>
    <n v="52.5"/>
    <n v="6.04"/>
    <n v="2906"/>
    <n v="6035"/>
    <m/>
    <n v="0.4815244407622204"/>
  </r>
  <r>
    <x v="138"/>
    <x v="2"/>
    <n v="2.74"/>
    <n v="0.86"/>
    <n v="9.6"/>
    <n v="3.88"/>
    <n v="2.4300000000000002"/>
    <n v="1409888"/>
    <n v="2934847"/>
    <n v="30.84"/>
    <n v="0.48039574124306988"/>
  </r>
  <r>
    <x v="139"/>
    <x v="6"/>
    <n v="6.35"/>
    <n v="5.72"/>
    <n v="10.17"/>
    <s v="NO PACKAGES"/>
    <n v="12.42"/>
    <n v="5520"/>
    <n v="11508"/>
    <m/>
    <n v="0.4796663190823775"/>
  </r>
  <r>
    <x v="139"/>
    <x v="6"/>
    <s v="NO PROVIDERS"/>
    <m/>
    <m/>
    <m/>
    <m/>
    <n v="5520"/>
    <n v="11508"/>
    <m/>
    <n v="0.4796663190823775"/>
  </r>
  <r>
    <x v="140"/>
    <x v="7"/>
    <n v="1.94"/>
    <n v="1.72"/>
    <n v="2.73"/>
    <n v="4.92"/>
    <n v="6.08"/>
    <n v="275785"/>
    <n v="575990"/>
    <n v="40.700000000000003"/>
    <n v="0.47880171530755744"/>
  </r>
  <r>
    <x v="141"/>
    <x v="10"/>
    <n v="2.97"/>
    <n v="1.48"/>
    <n v="6.82"/>
    <n v="3.25"/>
    <n v="4.3899999999999997"/>
    <n v="176400"/>
    <n v="383071"/>
    <m/>
    <n v="0.46048904772222382"/>
  </r>
  <r>
    <x v="142"/>
    <x v="6"/>
    <n v="1.28"/>
    <n v="1.0900000000000001"/>
    <n v="1.46"/>
    <n v="3.41"/>
    <n v="2.92"/>
    <n v="44558"/>
    <n v="103197"/>
    <m/>
    <n v="0.43177611752279621"/>
  </r>
  <r>
    <x v="143"/>
    <x v="7"/>
    <n v="2.1800000000000002"/>
    <n v="0.87"/>
    <n v="14.44"/>
    <n v="5.09"/>
    <n v="5.99"/>
    <n v="4843916"/>
    <n v="11353142"/>
    <n v="14.1"/>
    <n v="0.4266586289504703"/>
  </r>
  <r>
    <x v="144"/>
    <x v="11"/>
    <n v="2.58"/>
    <n v="1.17"/>
    <n v="18.059999999999999"/>
    <n v="3.2"/>
    <n v="6.18"/>
    <n v="10650818"/>
    <n v="25069230"/>
    <m/>
    <n v="0.42485620818828501"/>
  </r>
  <r>
    <x v="145"/>
    <x v="11"/>
    <n v="3.92"/>
    <n v="1.63"/>
    <n v="36.229999999999997"/>
    <n v="13.87"/>
    <n v="16.79"/>
    <n v="948977"/>
    <n v="2254068"/>
    <n v="24.14"/>
    <n v="0.42100637602769747"/>
  </r>
  <r>
    <x v="146"/>
    <x v="7"/>
    <n v="5.25"/>
    <n v="3.82"/>
    <n v="9.52"/>
    <n v="5.46"/>
    <n v="12.3"/>
    <n v="290375"/>
    <n v="779006"/>
    <m/>
    <n v="0.37275065917335681"/>
  </r>
  <r>
    <x v="147"/>
    <x v="1"/>
    <n v="7.15"/>
    <n v="0.19"/>
    <n v="38.799999999999997"/>
    <n v="6.55"/>
    <n v="4.1399999999999997"/>
    <n v="6257430"/>
    <n v="16945057"/>
    <n v="13.24"/>
    <n v="0.36927760113170466"/>
  </r>
  <r>
    <x v="148"/>
    <x v="9"/>
    <n v="0.15"/>
    <n v="0.1"/>
    <n v="7.08"/>
    <n v="0.21"/>
    <n v="0.27"/>
    <n v="2309235"/>
    <n v="6304030"/>
    <n v="16.3"/>
    <n v="0.36631091539856253"/>
  </r>
  <r>
    <x v="149"/>
    <x v="11"/>
    <n v="2.2400000000000002"/>
    <n v="0.69"/>
    <n v="2.8"/>
    <n v="13.31"/>
    <n v="5.25"/>
    <n v="414278"/>
    <n v="1136281"/>
    <m/>
    <n v="0.36459115306865114"/>
  </r>
  <r>
    <x v="150"/>
    <x v="6"/>
    <s v="NO PROVIDERS"/>
    <m/>
    <m/>
    <m/>
    <m/>
    <n v="20560"/>
    <n v="58413"/>
    <m/>
    <n v="0.35197644359988361"/>
  </r>
  <r>
    <x v="151"/>
    <x v="6"/>
    <n v="0.56000000000000005"/>
    <n v="0.19"/>
    <n v="6.86"/>
    <n v="10.86"/>
    <n v="30.09"/>
    <n v="66023"/>
    <n v="196129"/>
    <m/>
    <n v="0.33663048299843468"/>
  </r>
  <r>
    <x v="152"/>
    <x v="3"/>
    <n v="0.38"/>
    <n v="0"/>
    <n v="5.53"/>
    <n v="0.51"/>
    <n v="0.78"/>
    <n v="7121116"/>
    <n v="21228763"/>
    <n v="13.15"/>
    <n v="0.33544658254463533"/>
  </r>
  <r>
    <x v="153"/>
    <x v="3"/>
    <n v="0.83"/>
    <n v="0.1"/>
    <n v="2"/>
    <n v="1.5"/>
    <n v="10.18"/>
    <n v="5441827"/>
    <n v="16249792"/>
    <n v="16.12"/>
    <n v="0.33488594807859695"/>
  </r>
  <r>
    <x v="154"/>
    <x v="6"/>
    <n v="7.85"/>
    <n v="0.99"/>
    <n v="59.16"/>
    <n v="7.2"/>
    <n v="12.87"/>
    <n v="37257"/>
    <n v="112640"/>
    <m/>
    <n v="0.33076171874999999"/>
  </r>
  <r>
    <x v="155"/>
    <x v="11"/>
    <n v="2.66"/>
    <n v="1.29"/>
    <n v="9.02"/>
    <n v="2.13"/>
    <n v="7.19"/>
    <n v="665312"/>
    <n v="2108328"/>
    <m/>
    <n v="0.31556380221673286"/>
  </r>
  <r>
    <x v="156"/>
    <x v="10"/>
    <n v="1.56"/>
    <n v="0.69"/>
    <n v="50"/>
    <n v="3.12"/>
    <n v="4.6900000000000004"/>
    <n v="2977793"/>
    <n v="9587522"/>
    <n v="20.73"/>
    <n v="0.31059047374285031"/>
  </r>
  <r>
    <x v="157"/>
    <x v="10"/>
    <n v="1.33"/>
    <n v="0.5"/>
    <n v="7.5"/>
    <n v="1.45"/>
    <n v="4.55"/>
    <n v="1993079"/>
    <n v="6420746"/>
    <n v="21.03"/>
    <n v="0.31041237264330346"/>
  </r>
  <r>
    <x v="158"/>
    <x v="11"/>
    <s v="UNRELIABLE EXCHANGE RATES"/>
    <m/>
    <m/>
    <m/>
    <m/>
    <n v="4472992"/>
    <n v="14438802"/>
    <n v="13.99"/>
    <n v="0.30978969030810172"/>
  </r>
  <r>
    <x v="159"/>
    <x v="3"/>
    <n v="0.78"/>
    <n v="0"/>
    <n v="14.15"/>
    <n v="0.78"/>
    <n v="0.87"/>
    <n v="16374103"/>
    <n v="53708320"/>
    <n v="24.06"/>
    <n v="0.30487088406414498"/>
  </r>
  <r>
    <x v="160"/>
    <x v="11"/>
    <n v="0.27"/>
    <n v="0.03"/>
    <n v="0.92"/>
    <n v="0.63"/>
    <n v="0.68"/>
    <n v="12512639"/>
    <n v="41801533"/>
    <n v="9.5"/>
    <n v="0.29933445263837571"/>
  </r>
  <r>
    <x v="161"/>
    <x v="11"/>
    <n v="0.94"/>
    <n v="0.3"/>
    <n v="6.02"/>
    <n v="3.3"/>
    <n v="3.28"/>
    <n v="4698108"/>
    <n v="15854323"/>
    <n v="21.44"/>
    <n v="0.29632977705828245"/>
  </r>
  <r>
    <x v="162"/>
    <x v="11"/>
    <n v="30.97"/>
    <n v="13.27"/>
    <n v="121.65"/>
    <n v="28.26"/>
    <n v="5.33"/>
    <n v="61155"/>
    <n v="211028"/>
    <m/>
    <n v="0.28979566692571601"/>
  </r>
  <r>
    <x v="163"/>
    <x v="3"/>
    <n v="1.67"/>
    <n v="0.83"/>
    <n v="2.5"/>
    <n v="2.08"/>
    <n v="4.4800000000000004"/>
    <n v="356356"/>
    <n v="1267974"/>
    <m/>
    <n v="0.28104361761361035"/>
  </r>
  <r>
    <x v="164"/>
    <x v="11"/>
    <n v="1.1299999999999999"/>
    <n v="0.01"/>
    <n v="6.8"/>
    <n v="1.36"/>
    <n v="2.25"/>
    <n v="4760715"/>
    <n v="17351708"/>
    <n v="10.36"/>
    <n v="0.27436578577740012"/>
  </r>
  <r>
    <x v="165"/>
    <x v="10"/>
    <n v="0.94"/>
    <n v="0.02"/>
    <n v="2.82"/>
    <n v="1.71"/>
    <n v="65.83"/>
    <n v="1732218"/>
    <n v="6465501"/>
    <n v="18.3"/>
    <n v="0.26791705700764723"/>
  </r>
  <r>
    <x v="166"/>
    <x v="1"/>
    <n v="15.98"/>
    <n v="0.4"/>
    <n v="39.94"/>
    <n v="15.98"/>
    <n v="15.73"/>
    <n v="7548512"/>
    <n v="28498683"/>
    <n v="16.89"/>
    <n v="0.26487231006429313"/>
  </r>
  <r>
    <x v="167"/>
    <x v="11"/>
    <n v="49.67"/>
    <n v="45.16"/>
    <n v="63.22"/>
    <n v="12.78"/>
    <n v="47.39"/>
    <n v="332642"/>
    <n v="1308975"/>
    <m/>
    <n v="0.2541240283427873"/>
  </r>
  <r>
    <x v="168"/>
    <x v="3"/>
    <n v="3.19"/>
    <n v="0.18"/>
    <n v="4.25"/>
    <n v="4.16"/>
    <n v="3.42"/>
    <n v="1749517"/>
    <n v="7061507"/>
    <n v="23.41"/>
    <n v="0.24775405589770003"/>
  </r>
  <r>
    <x v="169"/>
    <x v="6"/>
    <n v="6.06"/>
    <n v="0.75"/>
    <n v="28.23"/>
    <n v="4.25"/>
    <s v="NO PACKAGES"/>
    <n v="71050"/>
    <n v="292680"/>
    <m/>
    <n v="0.24275659423260898"/>
  </r>
  <r>
    <x v="170"/>
    <x v="11"/>
    <n v="1.56"/>
    <n v="0.45"/>
    <n v="22.71"/>
    <n v="1.62"/>
    <n v="5.0199999999999996"/>
    <n v="10162807"/>
    <n v="42729036"/>
    <n v="15.99"/>
    <n v="0.23784311445734466"/>
  </r>
  <r>
    <x v="171"/>
    <x v="3"/>
    <n v="0.6"/>
    <n v="0.22"/>
    <n v="3.7"/>
    <n v="0.74"/>
    <n v="0.82"/>
    <n v="729236"/>
    <n v="3170216"/>
    <n v="16.690000000000001"/>
    <n v="0.23002722842859918"/>
  </r>
  <r>
    <x v="172"/>
    <x v="11"/>
    <n v="0.9"/>
    <n v="0.6"/>
    <n v="7.22"/>
    <n v="2.75"/>
    <n v="1.71"/>
    <n v="5580465"/>
    <n v="25216267"/>
    <n v="11.88"/>
    <n v="0.22130416845602086"/>
  </r>
  <r>
    <x v="173"/>
    <x v="11"/>
    <n v="1.25"/>
    <n v="0.35"/>
    <n v="23.1"/>
    <n v="1.48"/>
    <n v="3.79"/>
    <n v="2657770"/>
    <n v="12301970"/>
    <m/>
    <n v="0.21604425957793752"/>
  </r>
  <r>
    <x v="174"/>
    <x v="9"/>
    <n v="2.6"/>
    <n v="0.87"/>
    <n v="13.12"/>
    <n v="4.6500000000000004"/>
    <n v="4.0999999999999996"/>
    <n v="1959127"/>
    <n v="9100835"/>
    <n v="7.05"/>
    <n v="0.21526892862028593"/>
  </r>
  <r>
    <x v="175"/>
    <x v="9"/>
    <n v="21.41"/>
    <n v="7.14"/>
    <n v="30.44"/>
    <n v="11.44"/>
    <n v="19.809999999999999"/>
    <n v="1223591"/>
    <n v="5850901"/>
    <m/>
    <n v="0.2091286453146276"/>
  </r>
  <r>
    <x v="176"/>
    <x v="11"/>
    <n v="2.79"/>
    <n v="0.19"/>
    <n v="6.98"/>
    <n v="3.33"/>
    <n v="12.82"/>
    <n v="6162217"/>
    <n v="29496004"/>
    <n v="15.66"/>
    <n v="0.20891701126701773"/>
  </r>
  <r>
    <x v="177"/>
    <x v="12"/>
    <n v="5.56"/>
    <n v="2.78"/>
    <n v="13.91"/>
    <n v="4.63"/>
    <n v="9.49"/>
    <n v="919398"/>
    <n v="4403313"/>
    <m/>
    <n v="0.20879687635196498"/>
  </r>
  <r>
    <x v="178"/>
    <x v="12"/>
    <n v="0.74"/>
    <n v="0"/>
    <n v="2.2200000000000002"/>
    <n v="4.7300000000000004"/>
    <n v="4.87"/>
    <n v="1387116"/>
    <n v="6678559"/>
    <n v="10.4"/>
    <n v="0.2076968998851399"/>
  </r>
  <r>
    <x v="179"/>
    <x v="11"/>
    <n v="5.86"/>
    <n v="2.37"/>
    <n v="97.71"/>
    <n v="5.0999999999999996"/>
    <n v="6.89"/>
    <n v="416753"/>
    <n v="2280094"/>
    <m/>
    <n v="0.18277886788878003"/>
  </r>
  <r>
    <x v="180"/>
    <x v="11"/>
    <n v="1.71"/>
    <n v="1.41"/>
    <n v="4.17"/>
    <n v="2.44"/>
    <n v="2.06"/>
    <n v="19543075"/>
    <n v="109224414"/>
    <n v="21.08"/>
    <n v="0.17892588556254466"/>
  </r>
  <r>
    <x v="181"/>
    <x v="11"/>
    <n v="2.25"/>
    <n v="0.26"/>
    <n v="10.93"/>
    <n v="1.05"/>
    <n v="2.73"/>
    <n v="8861485"/>
    <n v="51392565"/>
    <n v="16.93"/>
    <n v="0.17242737349264431"/>
  </r>
  <r>
    <x v="182"/>
    <x v="11"/>
    <n v="4.5199999999999996"/>
    <n v="2.35"/>
    <n v="18.059999999999999"/>
    <n v="2.4700000000000002"/>
    <n v="10.26"/>
    <n v="3047909"/>
    <n v="19751466"/>
    <m/>
    <n v="0.15431305200332979"/>
  </r>
  <r>
    <x v="183"/>
    <x v="6"/>
    <n v="9.94"/>
    <n v="2.35"/>
    <n v="22.87"/>
    <n v="10.5"/>
    <n v="11.05"/>
    <n v="16971"/>
    <n v="115847"/>
    <m/>
    <n v="0.14649494592004972"/>
  </r>
  <r>
    <x v="184"/>
    <x v="11"/>
    <n v="25.46"/>
    <n v="20.37"/>
    <n v="25.46"/>
    <n v="27.41"/>
    <n v="3.59"/>
    <n v="2566126"/>
    <n v="18143217"/>
    <n v="17.95"/>
    <n v="0.14143721039107893"/>
  </r>
  <r>
    <x v="185"/>
    <x v="11"/>
    <n v="1.61"/>
    <n v="1.03"/>
    <n v="3.21"/>
    <n v="5.29"/>
    <n v="7.95"/>
    <n v="4271053"/>
    <n v="30809787"/>
    <n v="22.59"/>
    <n v="0.13862650202677482"/>
  </r>
  <r>
    <x v="186"/>
    <x v="11"/>
    <n v="3.61"/>
    <n v="0.45"/>
    <n v="60.21"/>
    <n v="27.22"/>
    <n v="20.99"/>
    <n v="1578008"/>
    <n v="11485044"/>
    <m/>
    <n v="0.13739677444857851"/>
  </r>
  <r>
    <x v="187"/>
    <x v="11"/>
    <n v="3.26"/>
    <n v="2.17"/>
    <n v="4.4000000000000004"/>
    <n v="3.69"/>
    <n v="9.2200000000000006"/>
    <n v="1000575"/>
    <n v="7650150"/>
    <m/>
    <n v="0.13079155310680182"/>
  </r>
  <r>
    <x v="188"/>
    <x v="11"/>
    <n v="3.28"/>
    <n v="1.2"/>
    <n v="169.79"/>
    <n v="4.12"/>
    <n v="12.37"/>
    <n v="2358540"/>
    <n v="19077749"/>
    <m/>
    <n v="0.12362779277576197"/>
  </r>
  <r>
    <x v="189"/>
    <x v="11"/>
    <n v="4.6900000000000004"/>
    <n v="2.0299999999999998"/>
    <n v="40.64"/>
    <n v="4.5"/>
    <n v="15.12"/>
    <n v="963795"/>
    <n v="7889093"/>
    <n v="34.42"/>
    <n v="0.12216803630024389"/>
  </r>
  <r>
    <x v="190"/>
    <x v="2"/>
    <n v="0.85"/>
    <n v="0.27"/>
    <n v="1.9"/>
    <n v="2.74"/>
    <n v="1.25"/>
    <n v="1353986"/>
    <n v="11123178"/>
    <n v="12.49"/>
    <n v="0.12172654254027042"/>
  </r>
  <r>
    <x v="191"/>
    <x v="6"/>
    <s v="NO PROVIDERS"/>
    <m/>
    <m/>
    <m/>
    <m/>
    <n v="1383"/>
    <n v="11661"/>
    <m/>
    <n v="0.11860046308206844"/>
  </r>
  <r>
    <x v="192"/>
    <x v="11"/>
    <n v="1.99"/>
    <n v="0.79"/>
    <n v="4.96"/>
    <n v="2.08"/>
    <n v="4.53"/>
    <n v="1449758"/>
    <n v="12414293"/>
    <m/>
    <n v="0.11678135839068725"/>
  </r>
  <r>
    <x v="193"/>
    <x v="6"/>
    <n v="7.83"/>
    <n v="3.14"/>
    <n v="12.55"/>
    <n v="8.5299999999999994"/>
    <n v="8.3699999999999992"/>
    <n v="72872"/>
    <n v="652857"/>
    <m/>
    <n v="0.11162015571557019"/>
  </r>
  <r>
    <x v="194"/>
    <x v="3"/>
    <n v="1.02"/>
    <n v="0.38"/>
    <n v="2.12"/>
    <n v="1.55"/>
    <n v="1.6"/>
    <n v="4068194"/>
    <n v="37171921"/>
    <n v="5.5"/>
    <n v="0.10944266237948801"/>
  </r>
  <r>
    <x v="195"/>
    <x v="6"/>
    <n v="2.2599999999999998"/>
    <n v="0.71"/>
    <n v="9.61"/>
    <n v="5.4"/>
    <n v="12.14"/>
    <n v="924955"/>
    <n v="8606323"/>
    <m/>
    <n v="0.10747388867464072"/>
  </r>
  <r>
    <x v="196"/>
    <x v="11"/>
    <n v="1.28"/>
    <n v="0.47"/>
    <n v="12.04"/>
    <n v="3.3"/>
    <n v="25.52"/>
    <n v="2194985"/>
    <n v="22442831"/>
    <m/>
    <n v="9.7803392094339608E-2"/>
  </r>
  <r>
    <x v="197"/>
    <x v="11"/>
    <n v="5.14"/>
    <n v="0.66"/>
    <n v="50.09"/>
    <n v="8.81"/>
    <n v="7.24"/>
    <n v="2505948"/>
    <n v="26262313"/>
    <m/>
    <n v="9.5419927407003335E-2"/>
  </r>
  <r>
    <x v="198"/>
    <x v="11"/>
    <s v="NO PROVIDERS"/>
    <m/>
    <m/>
    <m/>
    <m/>
    <n v="1003542"/>
    <n v="10975927"/>
    <m/>
    <n v="9.1431183899091162E-2"/>
  </r>
  <r>
    <x v="199"/>
    <x v="11"/>
    <n v="2.88"/>
    <n v="1"/>
    <n v="7.64"/>
    <n v="1.94"/>
    <n v="4.57"/>
    <n v="455055"/>
    <n v="5244359"/>
    <m/>
    <n v="8.6770375559720447E-2"/>
  </r>
  <r>
    <x v="200"/>
    <x v="11"/>
    <s v="Prices listed in non-convertible 'units'"/>
    <m/>
    <m/>
    <m/>
    <m/>
    <n v="7011507"/>
    <n v="84068091"/>
    <n v="12.08"/>
    <n v="8.3402714592389168E-2"/>
  </r>
  <r>
    <x v="201"/>
    <x v="11"/>
    <n v="3.21"/>
    <n v="0.6"/>
    <n v="96.41"/>
    <n v="4.38"/>
    <n v="5.27"/>
    <n v="69020"/>
    <n v="832322"/>
    <m/>
    <n v="8.2924637339875679E-2"/>
  </r>
  <r>
    <x v="202"/>
    <x v="11"/>
    <n v="2.59"/>
    <n v="1.55"/>
    <n v="20"/>
    <n v="3.25"/>
    <n v="3.75"/>
    <n v="377607"/>
    <n v="4818973"/>
    <m/>
    <n v="7.835839711075368E-2"/>
  </r>
  <r>
    <x v="203"/>
    <x v="11"/>
    <n v="23.33"/>
    <n v="2.21"/>
    <n v="45.16"/>
    <n v="23.33"/>
    <n v="23.33"/>
    <n v="968500"/>
    <n v="15477729"/>
    <m/>
    <n v="6.2573779396189189E-2"/>
  </r>
  <r>
    <x v="204"/>
    <x v="11"/>
    <n v="2.1"/>
    <n v="0.09"/>
    <n v="5.12"/>
    <n v="2.12"/>
    <n v="18.79"/>
    <n v="607311"/>
    <n v="11175374"/>
    <m/>
    <n v="5.4343684605096886E-2"/>
  </r>
  <r>
    <x v="205"/>
    <x v="11"/>
    <n v="9.0299999999999994"/>
    <n v="3.01"/>
    <n v="60.21"/>
    <n v="8.25"/>
    <n v="6.03"/>
    <n v="202204"/>
    <n v="4666368"/>
    <m/>
    <n v="4.3332201832345839E-2"/>
  </r>
  <r>
    <x v="206"/>
    <x v="11"/>
    <n v="4.41"/>
    <n v="2.25"/>
    <n v="36.119999999999997"/>
    <n v="4.12"/>
    <n v="11.71"/>
    <n v="73148"/>
    <n v="1874303"/>
    <m/>
    <n v="3.9026774219536542E-2"/>
  </r>
  <r>
    <x v="207"/>
    <x v="11"/>
    <n v="0.6"/>
    <n v="0.18"/>
    <n v="6.67"/>
    <n v="0.5"/>
    <n v="6.19"/>
    <n v="294851"/>
    <n v="15008226"/>
    <n v="7.95"/>
    <n v="1.9645959489149482E-2"/>
  </r>
  <r>
    <x v="208"/>
    <x v="12"/>
    <s v="NO PROVIDERS"/>
    <m/>
    <m/>
    <m/>
    <m/>
    <n v="66402"/>
    <n v="3452786"/>
    <m/>
    <n v="1.9231426448091483E-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211A83-EC75-4ADE-8F5B-10AD1C899FBB}" name="PivotTable3" cacheId="7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2">
  <location ref="A3:D5" firstHeaderRow="0" firstDataRow="1" firstDataCol="1"/>
  <pivotFields count="11">
    <pivotField axis="axisRow" showAll="0">
      <items count="210">
        <item h="1" x="194"/>
        <item h="1" x="80"/>
        <item h="1" x="105"/>
        <item h="1" x="1"/>
        <item h="1" x="185"/>
        <item h="1" x="47"/>
        <item h="1" x="52"/>
        <item h="1" x="74"/>
        <item h="1" x="93"/>
        <item h="1" x="7"/>
        <item h="1" x="41"/>
        <item h="1" x="37"/>
        <item h="1" x="63"/>
        <item h="1" x="36"/>
        <item h="1" x="26"/>
        <item h="1" x="66"/>
        <item h="1" x="49"/>
        <item h="1" x="76"/>
        <item h="1" x="34"/>
        <item h="1" x="141"/>
        <item h="1" x="186"/>
        <item h="1" x="10"/>
        <item h="1" x="128"/>
        <item h="1" x="143"/>
        <item h="1" x="89"/>
        <item h="1" x="145"/>
        <item h="1" x="69"/>
        <item h="1" x="15"/>
        <item h="1" x="104"/>
        <item h="1" x="182"/>
        <item h="1" x="204"/>
        <item h="1" x="144"/>
        <item h="1" x="114"/>
        <item h="1" x="153"/>
        <item h="1" x="172"/>
        <item h="1" x="23"/>
        <item h="1" x="65"/>
        <item h="1" x="205"/>
        <item h="1" x="203"/>
        <item h="1" x="59"/>
        <item h="1" x="85"/>
        <item h="1" x="108"/>
        <item h="1" x="201"/>
        <item h="1" x="199"/>
        <item h="1" x="87"/>
        <item h="1" x="97"/>
        <item h="1" x="133"/>
        <item h="1" x="57"/>
        <item h="1" x="62"/>
        <item h="1" x="200"/>
        <item h="1" x="17"/>
        <item h="1" x="122"/>
        <item h="1" x="81"/>
        <item h="1" x="98"/>
        <item h="1" x="163"/>
        <item h="1" x="119"/>
        <item h="1" x="120"/>
        <item h="1" x="157"/>
        <item h="1" x="167"/>
        <item h="1" x="208"/>
        <item h="1" x="35"/>
        <item h="1" x="149"/>
        <item h="1" x="180"/>
        <item h="1" x="31"/>
        <item h="1" x="0"/>
        <item h="1" x="130"/>
        <item h="1" x="33"/>
        <item h="1" x="24"/>
        <item h="1" x="78"/>
        <item h="1" x="135"/>
        <item h="1" x="179"/>
        <item h="1" x="38"/>
        <item h="1" x="18"/>
        <item h="1" x="131"/>
        <item h="1" x="9"/>
        <item h="1" x="75"/>
        <item h="1" x="91"/>
        <item h="1" x="116"/>
        <item h="1" x="58"/>
        <item h="1" x="96"/>
        <item h="1" x="192"/>
        <item h="1" x="206"/>
        <item h="1" x="146"/>
        <item h="1" x="190"/>
        <item h="1" x="156"/>
        <item h="1" x="30"/>
        <item h="1" x="68"/>
        <item h="1" x="4"/>
        <item x="107"/>
        <item h="1" x="79"/>
        <item h="1" x="14"/>
        <item h="1" x="134"/>
        <item h="1" x="44"/>
        <item h="1" x="50"/>
        <item h="1" x="45"/>
        <item h="1" x="138"/>
        <item h="1" x="22"/>
        <item h="1" x="100"/>
        <item h="1" x="73"/>
        <item h="1" x="181"/>
        <item h="1" x="183"/>
        <item h="1" x="3"/>
        <item h="1" x="148"/>
        <item h="1" x="168"/>
        <item h="1" x="46"/>
        <item h="1" x="92"/>
        <item h="1" x="155"/>
        <item h="1" x="202"/>
        <item h="1" x="178"/>
        <item h="1" x="2"/>
        <item h="1" x="56"/>
        <item h="1" x="16"/>
        <item h="1" x="197"/>
        <item h="1" x="184"/>
        <item h="1" x="54"/>
        <item h="1" x="126"/>
        <item h="1" x="188"/>
        <item h="1" x="61"/>
        <item h="1" x="150"/>
        <item h="1" x="177"/>
        <item h="1" x="123"/>
        <item h="1" x="83"/>
        <item h="1" x="154"/>
        <item h="1" x="72"/>
        <item h="1" x="5"/>
        <item h="1" x="171"/>
        <item h="1" x="53"/>
        <item h="1" x="118"/>
        <item h="1" x="109"/>
        <item h="1" x="176"/>
        <item h="1" x="159"/>
        <item h="1" x="110"/>
        <item h="1" x="113"/>
        <item h="1" x="51"/>
        <item h="1" x="29"/>
        <item h="1" x="165"/>
        <item h="1" x="196"/>
        <item h="1" x="90"/>
        <item h="1" x="103"/>
        <item h="1" x="70"/>
        <item h="1" x="11"/>
        <item h="1" x="67"/>
        <item h="1" x="121"/>
        <item h="1" x="106"/>
        <item h="1" x="117"/>
        <item h="1" x="195"/>
        <item h="1" x="111"/>
        <item h="1" x="136"/>
        <item h="1" x="94"/>
        <item h="1" x="25"/>
        <item h="1" x="77"/>
        <item h="1" x="32"/>
        <item h="1" x="27"/>
        <item h="1" x="102"/>
        <item h="1" x="40"/>
        <item h="1" x="173"/>
        <item h="1" x="162"/>
        <item h="1" x="137"/>
        <item h="1" x="39"/>
        <item h="1" x="132"/>
        <item h="1" x="99"/>
        <item h="1" x="151"/>
        <item h="1" x="112"/>
        <item h="1" x="55"/>
        <item h="1" x="161"/>
        <item h="1" x="88"/>
        <item h="1" x="115"/>
        <item h="1" x="187"/>
        <item h="1" x="43"/>
        <item h="1" x="48"/>
        <item h="1" x="60"/>
        <item h="1" x="193"/>
        <item h="1" x="207"/>
        <item h="1" x="125"/>
        <item h="1" x="8"/>
        <item h="1" x="198"/>
        <item h="1" x="28"/>
        <item h="1" x="152"/>
        <item h="1" x="160"/>
        <item h="1" x="140"/>
        <item h="1" x="12"/>
        <item h="1" x="19"/>
        <item h="1" x="147"/>
        <item h="1" x="21"/>
        <item h="1" x="174"/>
        <item h="1" x="127"/>
        <item h="1" x="64"/>
        <item h="1" x="189"/>
        <item h="1" x="142"/>
        <item h="1" x="71"/>
        <item h="1" x="124"/>
        <item h="1" x="42"/>
        <item h="1" x="175"/>
        <item h="1" x="139"/>
        <item h="1" x="101"/>
        <item h="1" x="170"/>
        <item h="1" x="86"/>
        <item h="1" x="20"/>
        <item h="1" x="6"/>
        <item h="1" x="13"/>
        <item h="1" x="95"/>
        <item h="1" x="129"/>
        <item h="1" x="169"/>
        <item h="1" x="84"/>
        <item h="1" x="82"/>
        <item h="1" x="191"/>
        <item h="1" x="166"/>
        <item h="1" x="164"/>
        <item h="1" x="158"/>
        <item t="default"/>
      </items>
    </pivotField>
    <pivotField showAll="0">
      <items count="14">
        <item x="3"/>
        <item x="8"/>
        <item x="2"/>
        <item x="10"/>
        <item x="9"/>
        <item x="5"/>
        <item x="1"/>
        <item x="12"/>
        <item x="4"/>
        <item x="6"/>
        <item x="7"/>
        <item x="11"/>
        <item x="0"/>
        <item t="default"/>
      </items>
    </pivotField>
    <pivotField dataField="1" showAll="0"/>
    <pivotField showAll="0"/>
    <pivotField showAll="0"/>
    <pivotField dataField="1" showAll="0"/>
    <pivotField dataField="1" showAll="0"/>
    <pivotField numFmtId="3" showAll="0"/>
    <pivotField numFmtId="3" showAll="0"/>
    <pivotField showAll="0"/>
    <pivotField numFmtId="9" showAll="0"/>
  </pivotFields>
  <rowFields count="1">
    <field x="0"/>
  </rowFields>
  <rowItems count="2">
    <i>
      <x v="88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Max of Average price of 1GB (USD)" fld="2" subtotal="max" baseField="0" baseItem="88"/>
    <dataField name="Max of Average price of 1GB (USD at the start of 2021)" fld="5" subtotal="max" baseField="0" baseItem="88"/>
    <dataField name="Max of Average price of 1GB (USD at start of 2020)" fld="6" subtotal="max" baseField="0" baseItem="88"/>
  </dataFields>
  <formats count="1">
    <format dxfId="3">
      <pivotArea outline="0" collapsedLevelsAreSubtotals="1" fieldPosition="0"/>
    </format>
  </formats>
  <chartFormats count="3">
    <chartFormat chart="2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2F8FE0C-1BD5-46AA-B8ED-0A9DCF8DCDF4}" name="Table5" displayName="Table5" ref="E2:G7" totalsRowShown="0">
  <autoFilter ref="E2:G7" xr:uid="{82F8FE0C-1BD5-46AA-B8ED-0A9DCF8DCDF4}"/>
  <tableColumns count="3">
    <tableColumn id="1" xr3:uid="{1B413A13-F82D-45BB-B835-91612C1C2390}" name="Gen"/>
    <tableColumn id="2" xr3:uid="{CE25EAE3-AC6E-4B55-841A-9FD16F74E2C3}" name="Max Speed" dataDxfId="16"/>
    <tableColumn id="3" xr3:uid="{F6709A13-5585-4834-832B-8CEA50678901}" name="Avg Speed" dataDxfId="15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2683BB5-DD8F-4B00-BBD4-F810F65D601F}" name="Table6" displayName="Table6" ref="B13:C16" totalsRowShown="0">
  <autoFilter ref="B13:C16" xr:uid="{22683BB5-DD8F-4B00-BBD4-F810F65D601F}"/>
  <sortState xmlns:xlrd2="http://schemas.microsoft.com/office/spreadsheetml/2017/richdata2" ref="B14:C16">
    <sortCondition ref="B13:B16"/>
  </sortState>
  <tableColumns count="2">
    <tableColumn id="1" xr3:uid="{C66DFDFB-8486-4FCB-A493-0BCCF3C645FA}" name="Year" dataDxfId="0"/>
    <tableColumn id="2" xr3:uid="{1A7EB35B-A1EA-4B08-A1C2-3F47CF8CD090}" name="Price" dataDxfId="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3D4221-7F94-4FBC-A2EF-A49F33463DA7}" name="Table1" displayName="Table1" ref="A1:K213" totalsRowShown="0" dataDxfId="30">
  <autoFilter ref="A1:K213" xr:uid="{223D4221-7F94-4FBC-A2EF-A49F33463DA7}"/>
  <sortState xmlns:xlrd2="http://schemas.microsoft.com/office/spreadsheetml/2017/richdata2" ref="A69:K199">
    <sortCondition descending="1" ref="K1:K213"/>
  </sortState>
  <tableColumns count="11">
    <tableColumn id="1" xr3:uid="{9725845F-C191-48E8-B8ED-53E54F620881}" name="Country" dataDxfId="29"/>
    <tableColumn id="2" xr3:uid="{DBA215EC-67DD-4B76-9EDF-63A5F6C126C8}" name="Continental region" dataDxfId="28"/>
    <tableColumn id="4" xr3:uid="{15603EB5-7A82-452B-AAC3-2221A62E22C6}" name="Average price of 1GB (USD)" dataDxfId="27"/>
    <tableColumn id="5" xr3:uid="{061C02D9-B9EF-4EF3-BC07-D184FB0D31AB}" name="Cheapest 1GB for 30 days (USD)" dataDxfId="26"/>
    <tableColumn id="6" xr3:uid="{8567A233-BE82-4D33-9BDF-E594F994D0B9}" name="Most expensive 1GB (USD)" dataDxfId="25"/>
    <tableColumn id="7" xr3:uid="{290A6EC6-3EDD-4C41-B7D3-290780C965DD}" name="Average price of 1GB (USD at the start of 2021)" dataDxfId="24"/>
    <tableColumn id="8" xr3:uid="{69B28224-0D1A-4FED-A2ED-E0DD37B88CE4}" name="Average price of 1GB (USD at start of 2020)" dataDxfId="23"/>
    <tableColumn id="9" xr3:uid="{428460E3-5538-4595-9378-5B2C7939FB41}" name="Internet users" dataDxfId="22"/>
    <tableColumn id="10" xr3:uid="{FF577D34-6E05-4A15-ACA4-229506D2AC78}" name="Population" dataDxfId="21"/>
    <tableColumn id="11" xr3:uid="{19DCBDEE-6D82-4572-B41D-7ECFAD49499E}" name="Avg _x000a_(Mbit/s)Ookla" dataDxfId="20"/>
    <tableColumn id="12" xr3:uid="{D712FD45-F579-4D58-B4CF-E2F02C89231A}" name="% users" dataDxfId="19" dataCellStyle="Percent">
      <calculatedColumnFormula>Table1[[#This Row],[Internet users]]/Table1[[#This Row],[Population]]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A90975-E1AF-401C-8B8E-C9CDB67637F7}" name="Table4" displayName="Table4" ref="A1:I243" totalsRowShown="0">
  <autoFilter ref="A1:I243" xr:uid="{A0A90975-E1AF-401C-8B8E-C9CDB67637F7}"/>
  <tableColumns count="9">
    <tableColumn id="1" xr3:uid="{2E25CF8A-EA6F-4686-B0D8-DB7D5D451D80}" name="Country code"/>
    <tableColumn id="2" xr3:uid="{56EA35D6-C183-4330-BF73-84C784B806DF}" name="Name"/>
    <tableColumn id="3" xr3:uid="{BFF4B727-C120-4C67-BBCD-EB3C516F2CE8}" name="Continental region"/>
    <tableColumn id="4" xr3:uid="{01260B0C-A840-4BB9-ABC0-E0667584B240}" name="NO. OF Internet Plans "/>
    <tableColumn id="5" xr3:uid="{59D058EE-1904-4C8C-A6C3-7DFD7C305103}" name="Average price of 1GB (USD)"/>
    <tableColumn id="6" xr3:uid="{4F069D34-7F58-4AA6-9993-E0476E88CAA2}" name="Cheapest 1GB for 30 days (USD)"/>
    <tableColumn id="7" xr3:uid="{E5E06601-29E5-4E99-A35D-5A2454A358C5}" name="Most expensive 1GB (USD)"/>
    <tableColumn id="8" xr3:uid="{4D18D1DC-46A0-4D2D-A827-5DBD9B8A4A2F}" name="Average price of 1GB (USD  at the start of 2021)"/>
    <tableColumn id="9" xr3:uid="{D564D42F-37DA-479F-B7C3-DFAB34EA1028}" name="Average price of 1GB (USD â€“ at start of 2020)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B14F2C-59C1-4CAF-A19B-50030F199500}" name="Table2" displayName="Table2" ref="A1:B145" totalsRowShown="0">
  <autoFilter ref="A1:B145" xr:uid="{00B14F2C-59C1-4CAF-A19B-50030F199500}"/>
  <tableColumns count="2">
    <tableColumn id="1" xr3:uid="{CEFA8983-4CD6-4D65-999E-5CE879C91314}" name="Country"/>
    <tableColumn id="2" xr3:uid="{792BEA4F-5FE2-41E1-943D-319F20294198}" name="Avg _x000a_(Mbit/s)Ook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6006CCE-BC5B-482B-BDC0-46EA26488AB5}" name="Table3" displayName="Table3" ref="A1:E215" totalsRowShown="0">
  <autoFilter ref="A1:E215" xr:uid="{26006CCE-BC5B-482B-BDC0-46EA26488AB5}"/>
  <tableColumns count="5">
    <tableColumn id="1" xr3:uid="{8F1F2976-9180-43FB-A822-8D08A01E6F3C}" name="Country or area"/>
    <tableColumn id="2" xr3:uid="{CACEB9F6-7CB6-46BE-9230-6D037445A18F}" name="Subregion"/>
    <tableColumn id="3" xr3:uid="{8E061BBF-5158-4E48-87E1-B3864D8CCEBA}" name="Region"/>
    <tableColumn id="4" xr3:uid="{866520A3-0A25-496B-BD90-5CFF80E418C4}" name="Internet users" dataDxfId="18"/>
    <tableColumn id="5" xr3:uid="{8E4FEDC7-D63A-4688-8B69-1F916F40B8A9}" name="Population" dataDxfId="1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382B-16CB-443A-8B74-AB731ECAA7D5}">
  <dimension ref="A1:G16"/>
  <sheetViews>
    <sheetView tabSelected="1" workbookViewId="0">
      <selection activeCell="E20" sqref="E20"/>
    </sheetView>
  </sheetViews>
  <sheetFormatPr defaultRowHeight="14.4" x14ac:dyDescent="0.3"/>
  <cols>
    <col min="1" max="1" width="14.5546875" bestFit="1" customWidth="1"/>
    <col min="2" max="2" width="39.109375" bestFit="1" customWidth="1"/>
    <col min="3" max="3" width="58.77734375" bestFit="1" customWidth="1"/>
    <col min="5" max="5" width="9.21875" customWidth="1"/>
    <col min="6" max="6" width="14.6640625" bestFit="1" customWidth="1"/>
    <col min="7" max="7" width="12.109375" bestFit="1" customWidth="1"/>
  </cols>
  <sheetData>
    <row r="1" spans="1:7" x14ac:dyDescent="0.3">
      <c r="A1" t="s">
        <v>561</v>
      </c>
    </row>
    <row r="2" spans="1:7" x14ac:dyDescent="0.3">
      <c r="A2" t="s">
        <v>562</v>
      </c>
      <c r="B2" t="s">
        <v>563</v>
      </c>
      <c r="C2" t="s">
        <v>564</v>
      </c>
      <c r="E2" t="s">
        <v>570</v>
      </c>
      <c r="F2" t="s">
        <v>571</v>
      </c>
      <c r="G2" t="s">
        <v>572</v>
      </c>
    </row>
    <row r="3" spans="1:7" x14ac:dyDescent="0.3">
      <c r="E3" t="s">
        <v>573</v>
      </c>
      <c r="F3" s="14" t="s">
        <v>580</v>
      </c>
      <c r="G3" s="14" t="s">
        <v>583</v>
      </c>
    </row>
    <row r="4" spans="1:7" x14ac:dyDescent="0.3">
      <c r="C4" s="14" t="s">
        <v>588</v>
      </c>
      <c r="E4" t="s">
        <v>574</v>
      </c>
      <c r="F4" s="14" t="s">
        <v>581</v>
      </c>
      <c r="G4" s="14" t="s">
        <v>584</v>
      </c>
    </row>
    <row r="5" spans="1:7" x14ac:dyDescent="0.3">
      <c r="E5" t="s">
        <v>575</v>
      </c>
      <c r="F5" s="14" t="s">
        <v>582</v>
      </c>
      <c r="G5" s="14" t="s">
        <v>585</v>
      </c>
    </row>
    <row r="6" spans="1:7" x14ac:dyDescent="0.3">
      <c r="E6" t="s">
        <v>576</v>
      </c>
      <c r="F6" s="14" t="s">
        <v>586</v>
      </c>
      <c r="G6" s="14" t="s">
        <v>579</v>
      </c>
    </row>
    <row r="7" spans="1:7" x14ac:dyDescent="0.3">
      <c r="E7" t="s">
        <v>577</v>
      </c>
      <c r="F7" s="14" t="s">
        <v>587</v>
      </c>
      <c r="G7" s="14" t="s">
        <v>578</v>
      </c>
    </row>
    <row r="13" spans="1:7" x14ac:dyDescent="0.3">
      <c r="B13" s="12" t="s">
        <v>592</v>
      </c>
      <c r="C13" s="11" t="s">
        <v>593</v>
      </c>
    </row>
    <row r="14" spans="1:7" x14ac:dyDescent="0.3">
      <c r="B14" s="15">
        <v>2020</v>
      </c>
      <c r="C14" s="13">
        <v>0.26</v>
      </c>
    </row>
    <row r="15" spans="1:7" x14ac:dyDescent="0.3">
      <c r="B15" s="15">
        <v>2021</v>
      </c>
      <c r="C15" s="13">
        <v>0.09</v>
      </c>
    </row>
    <row r="16" spans="1:7" x14ac:dyDescent="0.3">
      <c r="B16" s="15">
        <v>2022</v>
      </c>
      <c r="C16" s="13">
        <v>0.68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503D1-6245-4B3B-8B56-F54EB638341B}">
  <dimension ref="A3:D5"/>
  <sheetViews>
    <sheetView workbookViewId="0">
      <selection activeCell="A3" sqref="A3:D4"/>
    </sheetView>
  </sheetViews>
  <sheetFormatPr defaultRowHeight="14.4" x14ac:dyDescent="0.3"/>
  <cols>
    <col min="1" max="1" width="12.5546875" bestFit="1" customWidth="1"/>
    <col min="2" max="2" width="30.6640625" bestFit="1" customWidth="1"/>
    <col min="3" max="3" width="47.33203125" bestFit="1" customWidth="1"/>
    <col min="4" max="4" width="44" bestFit="1" customWidth="1"/>
  </cols>
  <sheetData>
    <row r="3" spans="1:4" x14ac:dyDescent="0.3">
      <c r="A3" s="10" t="s">
        <v>568</v>
      </c>
      <c r="B3" t="s">
        <v>589</v>
      </c>
      <c r="C3" t="s">
        <v>590</v>
      </c>
      <c r="D3" t="s">
        <v>591</v>
      </c>
    </row>
    <row r="4" spans="1:4" x14ac:dyDescent="0.3">
      <c r="A4" s="11" t="s">
        <v>76</v>
      </c>
      <c r="B4" s="13">
        <v>0.68</v>
      </c>
      <c r="C4" s="13">
        <v>0.09</v>
      </c>
      <c r="D4" s="13">
        <v>0.26</v>
      </c>
    </row>
    <row r="5" spans="1:4" x14ac:dyDescent="0.3">
      <c r="A5" s="11" t="s">
        <v>569</v>
      </c>
      <c r="B5" s="13">
        <v>0.68</v>
      </c>
      <c r="C5" s="13">
        <v>0.09</v>
      </c>
      <c r="D5" s="13">
        <v>0.26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213"/>
  <sheetViews>
    <sheetView topLeftCell="A2" workbookViewId="0">
      <selection activeCell="D10" sqref="A1:K213"/>
    </sheetView>
  </sheetViews>
  <sheetFormatPr defaultRowHeight="14.4" x14ac:dyDescent="0.3"/>
  <cols>
    <col min="1" max="1" width="13.77734375" customWidth="1"/>
    <col min="2" max="2" width="19.44140625" bestFit="1" customWidth="1"/>
    <col min="3" max="3" width="10.21875" customWidth="1"/>
    <col min="4" max="4" width="10.5546875" customWidth="1"/>
    <col min="5" max="5" width="10.33203125" customWidth="1"/>
    <col min="6" max="7" width="10.21875" customWidth="1"/>
    <col min="8" max="8" width="14.44140625" customWidth="1"/>
    <col min="9" max="9" width="12.109375" customWidth="1"/>
  </cols>
  <sheetData>
    <row r="1" spans="1:11" ht="43.2" x14ac:dyDescent="0.3">
      <c r="A1" t="s">
        <v>1</v>
      </c>
      <c r="B1" t="s">
        <v>2</v>
      </c>
      <c r="C1" t="s">
        <v>4</v>
      </c>
      <c r="D1" t="s">
        <v>5</v>
      </c>
      <c r="E1" t="s">
        <v>6</v>
      </c>
      <c r="F1" t="s">
        <v>567</v>
      </c>
      <c r="G1" t="s">
        <v>566</v>
      </c>
      <c r="H1" t="s">
        <v>9</v>
      </c>
      <c r="I1" t="s">
        <v>10</v>
      </c>
      <c r="J1" s="1" t="s">
        <v>11</v>
      </c>
      <c r="K1" t="s">
        <v>565</v>
      </c>
    </row>
    <row r="2" spans="1:11" x14ac:dyDescent="0.3">
      <c r="A2" s="4" t="s">
        <v>291</v>
      </c>
      <c r="B2" s="4" t="s">
        <v>23</v>
      </c>
      <c r="C2" s="4">
        <v>2.64</v>
      </c>
      <c r="D2" s="4">
        <v>1.1000000000000001</v>
      </c>
      <c r="E2" s="4">
        <v>163.9</v>
      </c>
      <c r="F2" s="4">
        <v>2.41</v>
      </c>
      <c r="G2" s="4">
        <v>9.7799999999999994</v>
      </c>
      <c r="H2" s="5">
        <v>48097</v>
      </c>
      <c r="I2" s="7">
        <v>48497</v>
      </c>
      <c r="J2" s="4"/>
      <c r="K2" s="6">
        <f>Table1[[#This Row],[Internet users]]/Table1[[#This Row],[Population]]</f>
        <v>0.99175206713817354</v>
      </c>
    </row>
    <row r="3" spans="1:11" x14ac:dyDescent="0.3">
      <c r="A3" s="4" t="s">
        <v>430</v>
      </c>
      <c r="B3" s="4" t="s">
        <v>23</v>
      </c>
      <c r="C3" s="4">
        <v>7.49</v>
      </c>
      <c r="D3" s="4">
        <v>1.06</v>
      </c>
      <c r="E3" s="4">
        <v>65.069999999999993</v>
      </c>
      <c r="F3" s="4">
        <v>9.5399999999999991</v>
      </c>
      <c r="G3" s="4">
        <v>12.58</v>
      </c>
      <c r="H3" s="5">
        <v>76095</v>
      </c>
      <c r="I3" s="5">
        <v>77006</v>
      </c>
      <c r="J3" s="4"/>
      <c r="K3" s="6">
        <f>Table1[[#This Row],[Internet users]]/Table1[[#This Row],[Population]]</f>
        <v>0.9881697530062592</v>
      </c>
    </row>
    <row r="4" spans="1:11" x14ac:dyDescent="0.3">
      <c r="A4" s="4" t="s">
        <v>315</v>
      </c>
      <c r="B4" s="4" t="s">
        <v>23</v>
      </c>
      <c r="C4" s="4">
        <v>3.1</v>
      </c>
      <c r="D4" s="4">
        <v>0.19</v>
      </c>
      <c r="E4" s="4">
        <v>24.06</v>
      </c>
      <c r="F4" s="4">
        <v>4.01</v>
      </c>
      <c r="G4" s="4">
        <v>7.99</v>
      </c>
      <c r="H4" s="5">
        <v>37201</v>
      </c>
      <c r="I4" s="5">
        <v>37910</v>
      </c>
      <c r="J4" s="4"/>
      <c r="K4" s="6">
        <f>Table1[[#This Row],[Internet users]]/Table1[[#This Row],[Population]]</f>
        <v>0.98129781060406229</v>
      </c>
    </row>
    <row r="5" spans="1:11" x14ac:dyDescent="0.3">
      <c r="A5" s="4" t="s">
        <v>96</v>
      </c>
      <c r="B5" s="4" t="s">
        <v>14</v>
      </c>
      <c r="C5" s="4">
        <v>0.81</v>
      </c>
      <c r="D5" s="4">
        <v>0.01</v>
      </c>
      <c r="E5" s="4">
        <v>6.29</v>
      </c>
      <c r="F5" s="4">
        <v>0.77</v>
      </c>
      <c r="G5" s="4">
        <v>2.0099999999999998</v>
      </c>
      <c r="H5" s="5">
        <v>4053797</v>
      </c>
      <c r="I5" s="5">
        <v>4137312</v>
      </c>
      <c r="J5" s="4">
        <v>96.23</v>
      </c>
      <c r="K5" s="6">
        <f>Table1[[#This Row],[Internet users]]/Table1[[#This Row],[Population]]</f>
        <v>0.97981418853593827</v>
      </c>
    </row>
    <row r="6" spans="1:11" x14ac:dyDescent="0.3">
      <c r="A6" s="4" t="s">
        <v>156</v>
      </c>
      <c r="B6" s="4" t="s">
        <v>23</v>
      </c>
      <c r="C6" s="4">
        <v>1.23</v>
      </c>
      <c r="D6" s="4">
        <v>0.16</v>
      </c>
      <c r="E6" s="4">
        <v>17.29</v>
      </c>
      <c r="F6" s="4">
        <v>1.46</v>
      </c>
      <c r="G6" s="4">
        <v>3.78</v>
      </c>
      <c r="H6" s="5">
        <v>329196</v>
      </c>
      <c r="I6" s="5">
        <v>336713</v>
      </c>
      <c r="J6" s="4"/>
      <c r="K6" s="6">
        <f>Table1[[#This Row],[Internet users]]/Table1[[#This Row],[Population]]</f>
        <v>0.97767534963010039</v>
      </c>
    </row>
    <row r="7" spans="1:11" x14ac:dyDescent="0.3">
      <c r="A7" s="4" t="s">
        <v>138</v>
      </c>
      <c r="B7" s="4" t="s">
        <v>23</v>
      </c>
      <c r="C7" s="4">
        <v>1.08</v>
      </c>
      <c r="D7" s="4">
        <v>0.84</v>
      </c>
      <c r="E7" s="4">
        <v>2.37</v>
      </c>
      <c r="F7" s="4">
        <v>0.98</v>
      </c>
      <c r="G7" s="4">
        <v>1.21</v>
      </c>
      <c r="H7" s="5">
        <v>37553</v>
      </c>
      <c r="I7" s="5">
        <v>38682</v>
      </c>
      <c r="J7" s="4"/>
      <c r="K7" s="6">
        <f>Table1[[#This Row],[Internet users]]/Table1[[#This Row],[Population]]</f>
        <v>0.97081329817486173</v>
      </c>
    </row>
    <row r="8" spans="1:11" x14ac:dyDescent="0.3">
      <c r="A8" s="4" t="s">
        <v>179</v>
      </c>
      <c r="B8" s="4" t="s">
        <v>23</v>
      </c>
      <c r="C8" s="4">
        <v>1.42</v>
      </c>
      <c r="D8" s="4">
        <v>0.11</v>
      </c>
      <c r="E8" s="4">
        <v>71.290000000000006</v>
      </c>
      <c r="F8" s="4">
        <v>1.39</v>
      </c>
      <c r="G8" s="4">
        <v>6.66</v>
      </c>
      <c r="H8" s="5">
        <v>65001016</v>
      </c>
      <c r="I8" s="5">
        <v>67141684</v>
      </c>
      <c r="J8" s="4">
        <v>48.1</v>
      </c>
      <c r="K8" s="6">
        <f>Table1[[#This Row],[Internet users]]/Table1[[#This Row],[Population]]</f>
        <v>0.96811715357035133</v>
      </c>
    </row>
    <row r="9" spans="1:11" x14ac:dyDescent="0.3">
      <c r="A9" s="4" t="s">
        <v>375</v>
      </c>
      <c r="B9" s="4" t="s">
        <v>105</v>
      </c>
      <c r="C9" s="4">
        <v>4.4400000000000004</v>
      </c>
      <c r="D9" s="4">
        <v>0.74</v>
      </c>
      <c r="E9" s="4">
        <v>8.9600000000000009</v>
      </c>
      <c r="F9" s="4">
        <v>9.11</v>
      </c>
      <c r="G9" s="4">
        <v>5.56</v>
      </c>
      <c r="H9" s="5">
        <v>102285</v>
      </c>
      <c r="I9" s="5">
        <v>105845</v>
      </c>
      <c r="J9" s="4">
        <v>108.33</v>
      </c>
      <c r="K9" s="6">
        <f>Table1[[#This Row],[Internet users]]/Table1[[#This Row],[Population]]</f>
        <v>0.96636591241910341</v>
      </c>
    </row>
    <row r="10" spans="1:11" x14ac:dyDescent="0.3">
      <c r="A10" s="4" t="s">
        <v>385</v>
      </c>
      <c r="B10" s="4" t="s">
        <v>34</v>
      </c>
      <c r="C10" s="4">
        <v>4.72</v>
      </c>
      <c r="D10" s="4">
        <v>0.06</v>
      </c>
      <c r="E10" s="4">
        <v>96.88</v>
      </c>
      <c r="F10" s="4">
        <v>10.94</v>
      </c>
      <c r="G10" s="4">
        <v>9.2100000000000009</v>
      </c>
      <c r="H10" s="5">
        <v>49421084</v>
      </c>
      <c r="I10" s="5">
        <v>51171706</v>
      </c>
      <c r="J10" s="4">
        <v>117.95</v>
      </c>
      <c r="K10" s="6">
        <f>Table1[[#This Row],[Internet users]]/Table1[[#This Row],[Population]]</f>
        <v>0.96578925861881559</v>
      </c>
    </row>
    <row r="11" spans="1:11" x14ac:dyDescent="0.3">
      <c r="A11" s="4" t="s">
        <v>301</v>
      </c>
      <c r="B11" s="4" t="s">
        <v>23</v>
      </c>
      <c r="C11" s="4">
        <v>2.78</v>
      </c>
      <c r="D11" s="4">
        <v>1.67</v>
      </c>
      <c r="E11" s="4">
        <v>2.98</v>
      </c>
      <c r="F11" s="4">
        <v>7.38</v>
      </c>
      <c r="G11" s="4">
        <v>3.1</v>
      </c>
      <c r="H11" s="5">
        <v>32494</v>
      </c>
      <c r="I11" s="5">
        <v>33718</v>
      </c>
      <c r="J11" s="4"/>
      <c r="K11" s="6">
        <f>Table1[[#This Row],[Internet users]]/Table1[[#This Row],[Population]]</f>
        <v>0.96369891452636569</v>
      </c>
    </row>
    <row r="12" spans="1:11" x14ac:dyDescent="0.3">
      <c r="A12" s="4" t="s">
        <v>468</v>
      </c>
      <c r="B12" s="4" t="s">
        <v>332</v>
      </c>
      <c r="C12" s="4">
        <v>19.8</v>
      </c>
      <c r="D12" s="4">
        <v>4.17</v>
      </c>
      <c r="E12" s="4">
        <v>100</v>
      </c>
      <c r="F12" s="4">
        <v>28.75</v>
      </c>
      <c r="G12" s="4">
        <v>37.74</v>
      </c>
      <c r="H12" s="5">
        <v>60349</v>
      </c>
      <c r="I12" s="5">
        <v>62756</v>
      </c>
      <c r="J12" s="4"/>
      <c r="K12" s="6">
        <f>Table1[[#This Row],[Internet users]]/Table1[[#This Row],[Population]]</f>
        <v>0.96164510166358597</v>
      </c>
    </row>
    <row r="13" spans="1:11" x14ac:dyDescent="0.3">
      <c r="A13" s="4" t="s">
        <v>407</v>
      </c>
      <c r="B13" s="4" t="s">
        <v>23</v>
      </c>
      <c r="C13" s="4">
        <v>5.81</v>
      </c>
      <c r="D13" s="4">
        <v>1.74</v>
      </c>
      <c r="E13" s="4">
        <v>29.03</v>
      </c>
      <c r="F13" s="4">
        <v>5.28</v>
      </c>
      <c r="G13" s="4">
        <v>5.33</v>
      </c>
      <c r="H13" s="5">
        <v>5120225</v>
      </c>
      <c r="I13" s="5">
        <v>5337962</v>
      </c>
      <c r="J13" s="4">
        <v>134.72999999999999</v>
      </c>
      <c r="K13" s="6">
        <f>Table1[[#This Row],[Internet users]]/Table1[[#This Row],[Population]]</f>
        <v>0.95920971337000904</v>
      </c>
    </row>
    <row r="14" spans="1:11" x14ac:dyDescent="0.3">
      <c r="A14" s="4" t="s">
        <v>183</v>
      </c>
      <c r="B14" s="4" t="s">
        <v>23</v>
      </c>
      <c r="C14" s="4">
        <v>1.45</v>
      </c>
      <c r="D14" s="4">
        <v>0.2</v>
      </c>
      <c r="E14" s="4">
        <v>75.08</v>
      </c>
      <c r="F14" s="4">
        <v>2.0699999999999998</v>
      </c>
      <c r="G14" s="4">
        <v>3.66</v>
      </c>
      <c r="H14" s="5">
        <v>9554907</v>
      </c>
      <c r="I14" s="5">
        <v>9971638</v>
      </c>
      <c r="J14" s="4">
        <v>73.61</v>
      </c>
      <c r="K14" s="6">
        <f>Table1[[#This Row],[Internet users]]/Table1[[#This Row],[Population]]</f>
        <v>0.95820837058064079</v>
      </c>
    </row>
    <row r="15" spans="1:11" x14ac:dyDescent="0.3">
      <c r="A15" s="4" t="s">
        <v>331</v>
      </c>
      <c r="B15" s="4" t="s">
        <v>332</v>
      </c>
      <c r="C15" s="4">
        <v>3.33</v>
      </c>
      <c r="D15" s="4">
        <v>1</v>
      </c>
      <c r="E15" s="4">
        <v>30</v>
      </c>
      <c r="F15" s="4">
        <v>8</v>
      </c>
      <c r="G15" s="4">
        <v>8.34</v>
      </c>
      <c r="H15" s="5">
        <v>312320000</v>
      </c>
      <c r="I15" s="5">
        <v>327096265</v>
      </c>
      <c r="J15" s="4">
        <v>61.12</v>
      </c>
      <c r="K15" s="6">
        <f>Table1[[#This Row],[Internet users]]/Table1[[#This Row],[Population]]</f>
        <v>0.95482594397707354</v>
      </c>
    </row>
    <row r="16" spans="1:11" x14ac:dyDescent="0.3">
      <c r="A16" s="4" t="s">
        <v>193</v>
      </c>
      <c r="B16" s="4" t="s">
        <v>34</v>
      </c>
      <c r="C16" s="4">
        <v>1.52</v>
      </c>
      <c r="D16" s="4">
        <v>0.22</v>
      </c>
      <c r="E16" s="4">
        <v>6.21</v>
      </c>
      <c r="F16" s="4">
        <v>0.75</v>
      </c>
      <c r="G16" s="4">
        <v>1.88</v>
      </c>
      <c r="H16" s="5">
        <v>78086663</v>
      </c>
      <c r="I16" s="5">
        <v>81800188</v>
      </c>
      <c r="J16" s="4">
        <v>24.9</v>
      </c>
      <c r="K16" s="6">
        <f>Table1[[#This Row],[Internet users]]/Table1[[#This Row],[Population]]</f>
        <v>0.95460248819966043</v>
      </c>
    </row>
    <row r="17" spans="1:11" x14ac:dyDescent="0.3">
      <c r="A17" s="4" t="s">
        <v>255</v>
      </c>
      <c r="B17" s="4" t="s">
        <v>34</v>
      </c>
      <c r="C17" s="4">
        <v>2.23</v>
      </c>
      <c r="D17" s="4">
        <v>1.78</v>
      </c>
      <c r="E17" s="4">
        <v>7.43</v>
      </c>
      <c r="F17" s="4">
        <v>2.64</v>
      </c>
      <c r="G17" s="4">
        <v>8.51</v>
      </c>
      <c r="H17" s="5">
        <v>406705</v>
      </c>
      <c r="I17" s="5">
        <v>428963</v>
      </c>
      <c r="J17" s="4">
        <v>71.38</v>
      </c>
      <c r="K17" s="6">
        <f>Table1[[#This Row],[Internet users]]/Table1[[#This Row],[Population]]</f>
        <v>0.9481120749342018</v>
      </c>
    </row>
    <row r="18" spans="1:11" x14ac:dyDescent="0.3">
      <c r="A18" s="4" t="s">
        <v>313</v>
      </c>
      <c r="B18" s="4" t="s">
        <v>23</v>
      </c>
      <c r="C18" s="4">
        <v>3</v>
      </c>
      <c r="D18" s="4">
        <v>1.42</v>
      </c>
      <c r="E18" s="4">
        <v>7.1</v>
      </c>
      <c r="F18" s="4">
        <v>3.89</v>
      </c>
      <c r="G18" s="4">
        <v>13.95</v>
      </c>
      <c r="H18" s="5">
        <v>570794</v>
      </c>
      <c r="I18" s="5">
        <v>604245</v>
      </c>
      <c r="J18" s="4">
        <v>82.85</v>
      </c>
      <c r="K18" s="6">
        <f>Table1[[#This Row],[Internet users]]/Table1[[#This Row],[Population]]</f>
        <v>0.94464000529586512</v>
      </c>
    </row>
    <row r="19" spans="1:11" x14ac:dyDescent="0.3">
      <c r="A19" s="4" t="s">
        <v>94</v>
      </c>
      <c r="B19" s="4" t="s">
        <v>23</v>
      </c>
      <c r="C19" s="4">
        <v>0.79</v>
      </c>
      <c r="D19" s="4">
        <v>0</v>
      </c>
      <c r="E19" s="4">
        <v>2.23</v>
      </c>
      <c r="F19" s="4">
        <v>0.8</v>
      </c>
      <c r="G19" s="4">
        <v>1.36</v>
      </c>
      <c r="H19" s="5">
        <v>5407278</v>
      </c>
      <c r="I19" s="9">
        <v>5752126</v>
      </c>
      <c r="J19" s="4">
        <v>105.65</v>
      </c>
      <c r="K19" s="6">
        <f>Table1[[#This Row],[Internet users]]/Table1[[#This Row],[Population]]</f>
        <v>0.94004860116068389</v>
      </c>
    </row>
    <row r="20" spans="1:11" x14ac:dyDescent="0.3">
      <c r="A20" s="4" t="s">
        <v>334</v>
      </c>
      <c r="B20" s="4" t="s">
        <v>23</v>
      </c>
      <c r="C20" s="4">
        <v>3.38</v>
      </c>
      <c r="D20" s="4">
        <v>0.35</v>
      </c>
      <c r="E20" s="4">
        <v>11.83</v>
      </c>
      <c r="F20" s="4">
        <v>4.0599999999999996</v>
      </c>
      <c r="G20" s="4">
        <v>6.96</v>
      </c>
      <c r="H20" s="5">
        <v>77794405</v>
      </c>
      <c r="I20" s="5">
        <v>83124418</v>
      </c>
      <c r="J20" s="4">
        <v>55.7</v>
      </c>
      <c r="K20" s="6">
        <f>Table1[[#This Row],[Internet users]]/Table1[[#This Row],[Population]]</f>
        <v>0.93587909391437785</v>
      </c>
    </row>
    <row r="21" spans="1:11" x14ac:dyDescent="0.3">
      <c r="A21" s="4" t="s">
        <v>395</v>
      </c>
      <c r="B21" s="4" t="s">
        <v>23</v>
      </c>
      <c r="C21" s="4">
        <v>5.24</v>
      </c>
      <c r="D21" s="4">
        <v>1.6</v>
      </c>
      <c r="E21" s="4">
        <v>17.829999999999998</v>
      </c>
      <c r="F21" s="4">
        <v>8.3800000000000008</v>
      </c>
      <c r="G21" s="4">
        <v>20.22</v>
      </c>
      <c r="H21" s="5">
        <v>7942864</v>
      </c>
      <c r="I21" s="5">
        <v>8525611</v>
      </c>
      <c r="J21" s="4">
        <v>82.29</v>
      </c>
      <c r="K21" s="6">
        <f>Table1[[#This Row],[Internet users]]/Table1[[#This Row],[Population]]</f>
        <v>0.93164747957653704</v>
      </c>
    </row>
    <row r="22" spans="1:11" x14ac:dyDescent="0.3">
      <c r="A22" s="4" t="s">
        <v>375</v>
      </c>
      <c r="B22" s="4" t="s">
        <v>105</v>
      </c>
      <c r="C22" s="4">
        <v>4.4400000000000004</v>
      </c>
      <c r="D22" s="4">
        <v>0.74</v>
      </c>
      <c r="E22" s="4">
        <v>8.9600000000000009</v>
      </c>
      <c r="F22" s="4">
        <v>9.11</v>
      </c>
      <c r="G22" s="4">
        <v>5.56</v>
      </c>
      <c r="H22" s="5">
        <v>15877494</v>
      </c>
      <c r="I22" s="5">
        <v>17059560</v>
      </c>
      <c r="J22" s="4">
        <v>108.33</v>
      </c>
      <c r="K22" s="6">
        <f>Table1[[#This Row],[Internet users]]/Table1[[#This Row],[Population]]</f>
        <v>0.93070946730161852</v>
      </c>
    </row>
    <row r="23" spans="1:11" x14ac:dyDescent="0.3">
      <c r="A23" s="4" t="s">
        <v>436</v>
      </c>
      <c r="B23" s="4" t="s">
        <v>14</v>
      </c>
      <c r="C23" s="4">
        <v>7.62</v>
      </c>
      <c r="D23" s="4">
        <v>0.8</v>
      </c>
      <c r="E23" s="4">
        <v>34.299999999999997</v>
      </c>
      <c r="F23" s="4">
        <v>3.78</v>
      </c>
      <c r="G23" s="4">
        <v>10.23</v>
      </c>
      <c r="H23" s="5">
        <v>8913217</v>
      </c>
      <c r="I23" s="9">
        <v>9630959</v>
      </c>
      <c r="J23" s="4">
        <v>135.35</v>
      </c>
      <c r="K23" s="6">
        <f>Table1[[#This Row],[Internet users]]/Table1[[#This Row],[Population]]</f>
        <v>0.92547554194758797</v>
      </c>
    </row>
    <row r="24" spans="1:11" x14ac:dyDescent="0.3">
      <c r="A24" s="4" t="s">
        <v>403</v>
      </c>
      <c r="B24" s="4" t="s">
        <v>34</v>
      </c>
      <c r="C24" s="4">
        <v>5.67</v>
      </c>
      <c r="D24" s="4">
        <v>0.42</v>
      </c>
      <c r="E24" s="4">
        <v>46.67</v>
      </c>
      <c r="F24" s="4">
        <v>5.91</v>
      </c>
      <c r="G24" s="4">
        <v>12.02</v>
      </c>
      <c r="H24" s="5">
        <v>21920626</v>
      </c>
      <c r="I24" s="5">
        <v>23726460</v>
      </c>
      <c r="J24" s="4">
        <v>53.93</v>
      </c>
      <c r="K24" s="6">
        <f>Table1[[#This Row],[Internet users]]/Table1[[#This Row],[Population]]</f>
        <v>0.92388944663468553</v>
      </c>
    </row>
    <row r="25" spans="1:11" x14ac:dyDescent="0.3">
      <c r="A25" s="4" t="s">
        <v>336</v>
      </c>
      <c r="B25" s="4" t="s">
        <v>34</v>
      </c>
      <c r="C25" s="4">
        <v>3.38</v>
      </c>
      <c r="D25" s="4">
        <v>0.88</v>
      </c>
      <c r="E25" s="4">
        <v>45.53</v>
      </c>
      <c r="F25" s="4">
        <v>3.91</v>
      </c>
      <c r="G25" s="4">
        <v>10.4</v>
      </c>
      <c r="H25" s="5">
        <v>117400000</v>
      </c>
      <c r="I25" s="5">
        <v>127202192</v>
      </c>
      <c r="J25" s="4">
        <v>44.05</v>
      </c>
      <c r="K25" s="6">
        <f>Table1[[#This Row],[Internet users]]/Table1[[#This Row],[Population]]</f>
        <v>0.92294007008935819</v>
      </c>
    </row>
    <row r="26" spans="1:11" x14ac:dyDescent="0.3">
      <c r="A26" s="4" t="s">
        <v>405</v>
      </c>
      <c r="B26" s="4" t="s">
        <v>332</v>
      </c>
      <c r="C26" s="4">
        <v>5.72</v>
      </c>
      <c r="D26" s="4">
        <v>0.8</v>
      </c>
      <c r="E26" s="4">
        <v>79.540000000000006</v>
      </c>
      <c r="F26" s="4">
        <v>12.55</v>
      </c>
      <c r="G26" s="4">
        <v>13.21</v>
      </c>
      <c r="H26" s="5">
        <v>33950632</v>
      </c>
      <c r="I26" s="5">
        <v>37064562</v>
      </c>
      <c r="J26" s="4">
        <v>75.180000000000007</v>
      </c>
      <c r="K26" s="6">
        <f>Table1[[#This Row],[Internet users]]/Table1[[#This Row],[Population]]</f>
        <v>0.9159863267775834</v>
      </c>
    </row>
    <row r="27" spans="1:11" x14ac:dyDescent="0.3">
      <c r="A27" s="4" t="s">
        <v>41</v>
      </c>
      <c r="B27" s="4" t="s">
        <v>23</v>
      </c>
      <c r="C27" s="4">
        <v>0.41</v>
      </c>
      <c r="D27" s="4">
        <v>0.09</v>
      </c>
      <c r="E27" s="4">
        <v>118.2</v>
      </c>
      <c r="F27" s="4">
        <v>0.81</v>
      </c>
      <c r="G27" s="4">
        <v>1.21</v>
      </c>
      <c r="H27" s="5">
        <v>59470000</v>
      </c>
      <c r="I27" s="5">
        <v>64990511</v>
      </c>
      <c r="J27" s="4">
        <v>60.94</v>
      </c>
      <c r="K27" s="6">
        <f>Table1[[#This Row],[Internet users]]/Table1[[#This Row],[Population]]</f>
        <v>0.91505666111780537</v>
      </c>
    </row>
    <row r="28" spans="1:11" x14ac:dyDescent="0.3">
      <c r="A28" s="4" t="s">
        <v>72</v>
      </c>
      <c r="B28" s="4" t="s">
        <v>31</v>
      </c>
      <c r="C28" s="4">
        <v>0.64</v>
      </c>
      <c r="D28" s="4">
        <v>0.03</v>
      </c>
      <c r="E28" s="4">
        <v>23.02</v>
      </c>
      <c r="F28" s="4">
        <v>0.7</v>
      </c>
      <c r="G28" s="4">
        <v>1.32</v>
      </c>
      <c r="H28" s="5">
        <v>34697848</v>
      </c>
      <c r="I28" s="5">
        <v>37921592</v>
      </c>
      <c r="J28" s="4">
        <v>40.14</v>
      </c>
      <c r="K28" s="6">
        <f>Table1[[#This Row],[Internet users]]/Table1[[#This Row],[Population]]</f>
        <v>0.91498922302629071</v>
      </c>
    </row>
    <row r="29" spans="1:11" x14ac:dyDescent="0.3">
      <c r="A29" s="4" t="s">
        <v>243</v>
      </c>
      <c r="B29" s="4" t="s">
        <v>14</v>
      </c>
      <c r="C29" s="4">
        <v>2.12</v>
      </c>
      <c r="D29" s="4">
        <v>1.27</v>
      </c>
      <c r="E29" s="4">
        <v>8.49</v>
      </c>
      <c r="F29" s="4">
        <v>2.27</v>
      </c>
      <c r="G29" s="4">
        <v>2</v>
      </c>
      <c r="H29" s="5">
        <v>1431090</v>
      </c>
      <c r="I29" s="5">
        <v>1569446</v>
      </c>
      <c r="J29" s="4">
        <v>53.08</v>
      </c>
      <c r="K29" s="6">
        <f>Table1[[#This Row],[Internet users]]/Table1[[#This Row],[Population]]</f>
        <v>0.91184405197757679</v>
      </c>
    </row>
    <row r="30" spans="1:11" x14ac:dyDescent="0.3">
      <c r="A30" s="4" t="s">
        <v>321</v>
      </c>
      <c r="B30" s="4" t="s">
        <v>14</v>
      </c>
      <c r="C30" s="4">
        <v>3.2</v>
      </c>
      <c r="D30" s="4">
        <v>1.1000000000000001</v>
      </c>
      <c r="E30" s="4">
        <v>4.3899999999999997</v>
      </c>
      <c r="F30" s="4">
        <v>4.12</v>
      </c>
      <c r="G30" s="4">
        <v>12.57</v>
      </c>
      <c r="H30" s="5">
        <v>2532059</v>
      </c>
      <c r="I30" s="5">
        <v>2781682</v>
      </c>
      <c r="J30" s="4">
        <v>120.69</v>
      </c>
      <c r="K30" s="6">
        <f>Table1[[#This Row],[Internet users]]/Table1[[#This Row],[Population]]</f>
        <v>0.91026184876632199</v>
      </c>
    </row>
    <row r="31" spans="1:11" x14ac:dyDescent="0.3">
      <c r="A31" s="4" t="s">
        <v>158</v>
      </c>
      <c r="B31" s="4" t="s">
        <v>23</v>
      </c>
      <c r="C31" s="4">
        <v>1.24</v>
      </c>
      <c r="D31" s="4">
        <v>0.56999999999999995</v>
      </c>
      <c r="E31" s="4">
        <v>57.98</v>
      </c>
      <c r="F31" s="4">
        <v>1.81</v>
      </c>
      <c r="G31" s="4">
        <v>0.56000000000000005</v>
      </c>
      <c r="H31" s="5">
        <v>42400756</v>
      </c>
      <c r="I31" s="5">
        <v>46692858</v>
      </c>
      <c r="J31" s="4">
        <v>34.26</v>
      </c>
      <c r="K31" s="6">
        <f>Table1[[#This Row],[Internet users]]/Table1[[#This Row],[Population]]</f>
        <v>0.90807797629350506</v>
      </c>
    </row>
    <row r="32" spans="1:11" x14ac:dyDescent="0.3">
      <c r="A32" s="4" t="s">
        <v>424</v>
      </c>
      <c r="B32" s="4" t="s">
        <v>20</v>
      </c>
      <c r="C32" s="4">
        <v>6.99</v>
      </c>
      <c r="D32" s="4">
        <v>1.22</v>
      </c>
      <c r="E32" s="4">
        <v>27.98</v>
      </c>
      <c r="F32" s="4">
        <v>6.06</v>
      </c>
      <c r="G32" s="4">
        <v>9.7899999999999991</v>
      </c>
      <c r="H32" s="5">
        <v>4273353</v>
      </c>
      <c r="I32" s="5">
        <v>4743131</v>
      </c>
      <c r="J32" s="4">
        <v>49.49</v>
      </c>
      <c r="K32" s="6">
        <f>Table1[[#This Row],[Internet users]]/Table1[[#This Row],[Population]]</f>
        <v>0.90095614057465412</v>
      </c>
    </row>
    <row r="33" spans="1:11" x14ac:dyDescent="0.3">
      <c r="A33" s="4" t="s">
        <v>265</v>
      </c>
      <c r="B33" s="4" t="s">
        <v>34</v>
      </c>
      <c r="C33" s="4">
        <v>2.2999999999999998</v>
      </c>
      <c r="D33" s="4">
        <v>0.21</v>
      </c>
      <c r="E33" s="4">
        <v>10.73</v>
      </c>
      <c r="F33" s="4">
        <v>2.5499999999999998</v>
      </c>
      <c r="G33" s="4">
        <v>7.15</v>
      </c>
      <c r="H33" s="5">
        <v>6585678</v>
      </c>
      <c r="I33" s="5">
        <v>7371730</v>
      </c>
      <c r="J33" s="4">
        <v>47.34</v>
      </c>
      <c r="K33" s="6">
        <f>Table1[[#This Row],[Internet users]]/Table1[[#This Row],[Population]]</f>
        <v>0.89336939904201595</v>
      </c>
    </row>
    <row r="34" spans="1:11" x14ac:dyDescent="0.3">
      <c r="A34" s="4" t="s">
        <v>482</v>
      </c>
      <c r="B34" s="4" t="s">
        <v>39</v>
      </c>
      <c r="C34" s="4">
        <v>44.56</v>
      </c>
      <c r="D34" s="4">
        <v>29.71</v>
      </c>
      <c r="E34" s="4">
        <v>82.26</v>
      </c>
      <c r="F34" s="4">
        <v>40.409999999999997</v>
      </c>
      <c r="G34" s="4">
        <v>55.47</v>
      </c>
      <c r="H34" s="5">
        <v>2881</v>
      </c>
      <c r="I34" s="5">
        <v>3234</v>
      </c>
      <c r="J34" s="4"/>
      <c r="K34" s="6">
        <f>Table1[[#This Row],[Internet users]]/Table1[[#This Row],[Population]]</f>
        <v>0.89084724799010517</v>
      </c>
    </row>
    <row r="35" spans="1:11" x14ac:dyDescent="0.3">
      <c r="A35" s="4" t="s">
        <v>363</v>
      </c>
      <c r="B35" s="4" t="s">
        <v>105</v>
      </c>
      <c r="C35" s="4">
        <v>4</v>
      </c>
      <c r="D35" s="4">
        <v>0.5</v>
      </c>
      <c r="E35" s="4">
        <v>20</v>
      </c>
      <c r="F35" s="4">
        <v>9.17</v>
      </c>
      <c r="G35" s="4">
        <v>14.61</v>
      </c>
      <c r="H35" s="5">
        <v>2664928</v>
      </c>
      <c r="I35" s="5">
        <v>3039596</v>
      </c>
      <c r="J35" s="4"/>
      <c r="K35" s="6">
        <f>Table1[[#This Row],[Internet users]]/Table1[[#This Row],[Population]]</f>
        <v>0.87673756643975054</v>
      </c>
    </row>
    <row r="36" spans="1:11" x14ac:dyDescent="0.3">
      <c r="A36" s="4" t="s">
        <v>128</v>
      </c>
      <c r="B36" s="4" t="s">
        <v>23</v>
      </c>
      <c r="C36" s="4">
        <v>0.97</v>
      </c>
      <c r="D36" s="4">
        <v>0.26</v>
      </c>
      <c r="E36" s="4">
        <v>1.63</v>
      </c>
      <c r="F36" s="4">
        <v>2.14</v>
      </c>
      <c r="G36" s="4">
        <v>1.1599999999999999</v>
      </c>
      <c r="H36" s="5">
        <v>4831170</v>
      </c>
      <c r="I36" s="5">
        <v>5522576</v>
      </c>
      <c r="J36" s="4">
        <v>71.23</v>
      </c>
      <c r="K36" s="6">
        <f>Table1[[#This Row],[Internet users]]/Table1[[#This Row],[Population]]</f>
        <v>0.87480371478817132</v>
      </c>
    </row>
    <row r="37" spans="1:11" x14ac:dyDescent="0.3">
      <c r="A37" s="4" t="s">
        <v>399</v>
      </c>
      <c r="B37" s="4" t="s">
        <v>23</v>
      </c>
      <c r="C37" s="4">
        <v>5.28</v>
      </c>
      <c r="D37" s="4">
        <v>1.48</v>
      </c>
      <c r="E37" s="4">
        <v>21.3</v>
      </c>
      <c r="F37" s="4">
        <v>4.88</v>
      </c>
      <c r="G37" s="4">
        <v>3.12</v>
      </c>
      <c r="H37" s="5">
        <v>10021242</v>
      </c>
      <c r="I37" s="5">
        <v>11482178</v>
      </c>
      <c r="J37" s="4">
        <v>58.65</v>
      </c>
      <c r="K37" s="6">
        <f>Table1[[#This Row],[Internet users]]/Table1[[#This Row],[Population]]</f>
        <v>0.87276490575220134</v>
      </c>
    </row>
    <row r="38" spans="1:11" x14ac:dyDescent="0.3">
      <c r="A38" s="4" t="s">
        <v>175</v>
      </c>
      <c r="B38" s="4" t="s">
        <v>173</v>
      </c>
      <c r="C38" s="4">
        <v>1.39</v>
      </c>
      <c r="D38" s="4">
        <v>0.35</v>
      </c>
      <c r="E38" s="4">
        <v>18.93</v>
      </c>
      <c r="F38" s="4">
        <v>1.27</v>
      </c>
      <c r="G38" s="4">
        <v>3.67</v>
      </c>
      <c r="H38" s="5">
        <v>1153786</v>
      </c>
      <c r="I38" s="5">
        <v>1322920</v>
      </c>
      <c r="J38" s="4">
        <v>55.07</v>
      </c>
      <c r="K38" s="6">
        <f>Table1[[#This Row],[Internet users]]/Table1[[#This Row],[Population]]</f>
        <v>0.87215099930456863</v>
      </c>
    </row>
    <row r="39" spans="1:11" x14ac:dyDescent="0.3">
      <c r="A39" s="4" t="s">
        <v>411</v>
      </c>
      <c r="B39" s="4" t="s">
        <v>105</v>
      </c>
      <c r="C39" s="4">
        <v>5.98</v>
      </c>
      <c r="D39" s="4">
        <v>3.99</v>
      </c>
      <c r="E39" s="4">
        <v>10.74</v>
      </c>
      <c r="F39" s="4">
        <v>6.02</v>
      </c>
      <c r="G39" s="4">
        <v>4.9400000000000004</v>
      </c>
      <c r="H39" s="5">
        <v>336057</v>
      </c>
      <c r="I39" s="5">
        <v>385637</v>
      </c>
      <c r="J39" s="4">
        <v>26.77</v>
      </c>
      <c r="K39" s="6">
        <f>Table1[[#This Row],[Internet users]]/Table1[[#This Row],[Population]]</f>
        <v>0.8714334983417048</v>
      </c>
    </row>
    <row r="40" spans="1:11" x14ac:dyDescent="0.3">
      <c r="A40" s="4" t="s">
        <v>152</v>
      </c>
      <c r="B40" s="4" t="s">
        <v>23</v>
      </c>
      <c r="C40" s="4">
        <v>1.17</v>
      </c>
      <c r="D40" s="4">
        <v>0.24</v>
      </c>
      <c r="E40" s="4">
        <v>23.43</v>
      </c>
      <c r="F40" s="4">
        <v>1.08</v>
      </c>
      <c r="G40" s="4">
        <v>1.88</v>
      </c>
      <c r="H40" s="5">
        <v>7681957</v>
      </c>
      <c r="I40" s="5">
        <v>8891388</v>
      </c>
      <c r="J40" s="4">
        <v>56.6</v>
      </c>
      <c r="K40" s="6">
        <f>Table1[[#This Row],[Internet users]]/Table1[[#This Row],[Population]]</f>
        <v>0.86397725529467395</v>
      </c>
    </row>
    <row r="41" spans="1:11" x14ac:dyDescent="0.3">
      <c r="A41" s="4" t="s">
        <v>219</v>
      </c>
      <c r="B41" s="4" t="s">
        <v>17</v>
      </c>
      <c r="C41" s="4">
        <v>1.8</v>
      </c>
      <c r="D41" s="4">
        <v>0.3</v>
      </c>
      <c r="E41" s="4">
        <v>7.98</v>
      </c>
      <c r="F41" s="4">
        <v>0.93</v>
      </c>
      <c r="G41" s="4">
        <v>5.63</v>
      </c>
      <c r="H41" s="5">
        <v>3446533</v>
      </c>
      <c r="I41" s="5">
        <v>4002942</v>
      </c>
      <c r="J41" s="4">
        <v>30.67</v>
      </c>
      <c r="K41" s="6">
        <f>Table1[[#This Row],[Internet users]]/Table1[[#This Row],[Population]]</f>
        <v>0.86099998451139192</v>
      </c>
    </row>
    <row r="42" spans="1:11" x14ac:dyDescent="0.3">
      <c r="A42" s="4" t="s">
        <v>353</v>
      </c>
      <c r="B42" s="4" t="s">
        <v>105</v>
      </c>
      <c r="C42" s="4">
        <v>3.7</v>
      </c>
      <c r="D42" s="4">
        <v>1.85</v>
      </c>
      <c r="E42" s="4">
        <v>24.42</v>
      </c>
      <c r="F42" s="4">
        <v>11.07</v>
      </c>
      <c r="G42" s="4">
        <v>14.9</v>
      </c>
      <c r="H42" s="5">
        <v>44669</v>
      </c>
      <c r="I42" s="5">
        <v>52441</v>
      </c>
      <c r="J42" s="4"/>
      <c r="K42" s="6">
        <f>Table1[[#This Row],[Internet users]]/Table1[[#This Row],[Population]]</f>
        <v>0.85179535096584735</v>
      </c>
    </row>
    <row r="43" spans="1:11" x14ac:dyDescent="0.3">
      <c r="A43" s="4" t="s">
        <v>28</v>
      </c>
      <c r="B43" s="4" t="s">
        <v>17</v>
      </c>
      <c r="C43" s="4">
        <v>0.28999999999999998</v>
      </c>
      <c r="D43" s="4">
        <v>0.13</v>
      </c>
      <c r="E43" s="4">
        <v>1.86</v>
      </c>
      <c r="F43" s="4">
        <v>0.52</v>
      </c>
      <c r="G43" s="4">
        <v>0.91</v>
      </c>
      <c r="H43" s="5">
        <v>124000000</v>
      </c>
      <c r="I43" s="5">
        <v>145734038</v>
      </c>
      <c r="J43" s="4">
        <v>20.46</v>
      </c>
      <c r="K43" s="6">
        <f>Table1[[#This Row],[Internet users]]/Table1[[#This Row],[Population]]</f>
        <v>0.85086505322799055</v>
      </c>
    </row>
    <row r="44" spans="1:11" x14ac:dyDescent="0.3">
      <c r="A44" s="4" t="s">
        <v>78</v>
      </c>
      <c r="B44" s="4" t="s">
        <v>20</v>
      </c>
      <c r="C44" s="4">
        <v>0.7</v>
      </c>
      <c r="D44" s="4">
        <v>0.1</v>
      </c>
      <c r="E44" s="4">
        <v>7.62</v>
      </c>
      <c r="F44" s="4">
        <v>0.68</v>
      </c>
      <c r="G44" s="4">
        <v>2.4700000000000002</v>
      </c>
      <c r="H44" s="5">
        <v>21159515</v>
      </c>
      <c r="I44" s="5">
        <v>24898152</v>
      </c>
      <c r="J44" s="4">
        <v>76.52</v>
      </c>
      <c r="K44" s="6">
        <f>Table1[[#This Row],[Internet users]]/Table1[[#This Row],[Population]]</f>
        <v>0.84984279154533238</v>
      </c>
    </row>
    <row r="45" spans="1:11" x14ac:dyDescent="0.3">
      <c r="A45" s="4" t="s">
        <v>70</v>
      </c>
      <c r="B45" s="4" t="s">
        <v>14</v>
      </c>
      <c r="C45" s="4">
        <v>0.63</v>
      </c>
      <c r="D45" s="4">
        <v>0.05</v>
      </c>
      <c r="E45" s="4">
        <v>2.2599999999999998</v>
      </c>
      <c r="F45" s="4">
        <v>0.72</v>
      </c>
      <c r="G45" s="4">
        <v>2.25</v>
      </c>
      <c r="H45" s="5">
        <v>69945905</v>
      </c>
      <c r="I45" s="5">
        <v>82340088</v>
      </c>
      <c r="J45" s="4">
        <v>30.48</v>
      </c>
      <c r="K45" s="6">
        <f>Table1[[#This Row],[Internet users]]/Table1[[#This Row],[Population]]</f>
        <v>0.84947571345806672</v>
      </c>
    </row>
    <row r="46" spans="1:11" x14ac:dyDescent="0.3">
      <c r="A46" s="4" t="s">
        <v>142</v>
      </c>
      <c r="B46" s="4" t="s">
        <v>34</v>
      </c>
      <c r="C46" s="4">
        <v>1.0900000000000001</v>
      </c>
      <c r="D46" s="4">
        <v>0.25</v>
      </c>
      <c r="E46" s="4">
        <v>74.319999999999993</v>
      </c>
      <c r="F46" s="4">
        <v>2.4700000000000002</v>
      </c>
      <c r="G46" s="4">
        <v>2.87</v>
      </c>
      <c r="H46" s="5">
        <v>4821119</v>
      </c>
      <c r="I46" s="5">
        <v>5757499</v>
      </c>
      <c r="J46" s="4">
        <v>67.989999999999995</v>
      </c>
      <c r="K46" s="6">
        <f>Table1[[#This Row],[Internet users]]/Table1[[#This Row],[Population]]</f>
        <v>0.837363410744839</v>
      </c>
    </row>
    <row r="47" spans="1:11" x14ac:dyDescent="0.3">
      <c r="A47" s="4" t="s">
        <v>181</v>
      </c>
      <c r="B47" s="4" t="s">
        <v>23</v>
      </c>
      <c r="C47" s="4">
        <v>1.42</v>
      </c>
      <c r="D47" s="4">
        <v>0.13</v>
      </c>
      <c r="E47" s="4">
        <v>11.64</v>
      </c>
      <c r="F47" s="4">
        <v>1.36</v>
      </c>
      <c r="G47" s="4">
        <v>3.95</v>
      </c>
      <c r="H47" s="5">
        <v>4024552</v>
      </c>
      <c r="I47" s="5">
        <v>4818690</v>
      </c>
      <c r="J47" s="4">
        <v>30.16</v>
      </c>
      <c r="K47" s="6">
        <f>Table1[[#This Row],[Internet users]]/Table1[[#This Row],[Population]]</f>
        <v>0.83519628778775978</v>
      </c>
    </row>
    <row r="48" spans="1:11" x14ac:dyDescent="0.3">
      <c r="A48" s="4" t="s">
        <v>22</v>
      </c>
      <c r="B48" s="4" t="s">
        <v>23</v>
      </c>
      <c r="C48" s="4">
        <v>0.27</v>
      </c>
      <c r="D48" s="4">
        <v>0.09</v>
      </c>
      <c r="E48" s="4">
        <v>3.54</v>
      </c>
      <c r="F48" s="4">
        <v>0.43</v>
      </c>
      <c r="G48" s="4">
        <v>1.73</v>
      </c>
      <c r="H48" s="5">
        <v>50540000</v>
      </c>
      <c r="I48" s="5">
        <v>60627291</v>
      </c>
      <c r="J48" s="4">
        <v>37.15</v>
      </c>
      <c r="K48" s="6">
        <f>Table1[[#This Row],[Internet users]]/Table1[[#This Row],[Population]]</f>
        <v>0.83361798237034868</v>
      </c>
    </row>
    <row r="49" spans="1:11" x14ac:dyDescent="0.3">
      <c r="A49" s="4" t="s">
        <v>342</v>
      </c>
      <c r="B49" s="4" t="s">
        <v>173</v>
      </c>
      <c r="C49" s="4">
        <v>3.49</v>
      </c>
      <c r="D49" s="4">
        <v>0.28999999999999998</v>
      </c>
      <c r="E49" s="4">
        <v>70.87</v>
      </c>
      <c r="F49" s="4">
        <v>3.79</v>
      </c>
      <c r="G49" s="4">
        <v>18.12</v>
      </c>
      <c r="H49" s="5">
        <v>1585471</v>
      </c>
      <c r="I49" s="5">
        <v>1928459</v>
      </c>
      <c r="J49" s="4">
        <v>41.6</v>
      </c>
      <c r="K49" s="6">
        <f>Table1[[#This Row],[Internet users]]/Table1[[#This Row],[Population]]</f>
        <v>0.82214400202441429</v>
      </c>
    </row>
    <row r="50" spans="1:11" x14ac:dyDescent="0.3">
      <c r="A50" s="4" t="s">
        <v>357</v>
      </c>
      <c r="B50" s="4" t="s">
        <v>105</v>
      </c>
      <c r="C50" s="4">
        <v>3.85</v>
      </c>
      <c r="D50" s="4">
        <v>1.1100000000000001</v>
      </c>
      <c r="E50" s="4">
        <v>15.91</v>
      </c>
      <c r="F50" s="4">
        <v>5.92</v>
      </c>
      <c r="G50" s="4">
        <v>14.12</v>
      </c>
      <c r="H50" s="5">
        <v>12043</v>
      </c>
      <c r="I50" s="5">
        <v>14731</v>
      </c>
      <c r="J50" s="4"/>
      <c r="K50" s="6">
        <f>Table1[[#This Row],[Internet users]]/Table1[[#This Row],[Population]]</f>
        <v>0.8175276627520196</v>
      </c>
    </row>
    <row r="51" spans="1:11" x14ac:dyDescent="0.3">
      <c r="A51" s="4" t="s">
        <v>347</v>
      </c>
      <c r="B51" s="4" t="s">
        <v>31</v>
      </c>
      <c r="C51" s="4">
        <v>3.55</v>
      </c>
      <c r="D51" s="4">
        <v>1.04</v>
      </c>
      <c r="E51" s="4">
        <v>35.5</v>
      </c>
      <c r="F51" s="4">
        <v>3.84</v>
      </c>
      <c r="G51" s="4">
        <v>7.38</v>
      </c>
      <c r="H51" s="5">
        <v>4446926</v>
      </c>
      <c r="I51" s="5">
        <v>5453014</v>
      </c>
      <c r="J51" s="4">
        <v>33.44</v>
      </c>
      <c r="K51" s="6">
        <f>Table1[[#This Row],[Internet users]]/Table1[[#This Row],[Population]]</f>
        <v>0.81549873152718844</v>
      </c>
    </row>
    <row r="52" spans="1:11" x14ac:dyDescent="0.3">
      <c r="A52" s="4" t="s">
        <v>422</v>
      </c>
      <c r="B52" s="4" t="s">
        <v>105</v>
      </c>
      <c r="C52" s="4">
        <v>6.79</v>
      </c>
      <c r="D52" s="4">
        <v>4.9400000000000004</v>
      </c>
      <c r="E52" s="4">
        <v>64.239999999999995</v>
      </c>
      <c r="F52" s="4">
        <v>9.32</v>
      </c>
      <c r="G52" s="4">
        <v>15.82</v>
      </c>
      <c r="H52" s="5">
        <v>233604</v>
      </c>
      <c r="I52" s="5">
        <v>286641</v>
      </c>
      <c r="J52" s="4"/>
      <c r="K52" s="6">
        <f>Table1[[#This Row],[Internet users]]/Table1[[#This Row],[Population]]</f>
        <v>0.81497064272033659</v>
      </c>
    </row>
    <row r="53" spans="1:11" x14ac:dyDescent="0.3">
      <c r="A53" s="4" t="s">
        <v>13</v>
      </c>
      <c r="B53" s="4" t="s">
        <v>14</v>
      </c>
      <c r="C53" s="4">
        <v>0.05</v>
      </c>
      <c r="D53" s="4">
        <v>0.02</v>
      </c>
      <c r="E53" s="4">
        <v>20.95</v>
      </c>
      <c r="F53" s="4">
        <v>0.11</v>
      </c>
      <c r="G53" s="4">
        <v>0.9</v>
      </c>
      <c r="H53" s="5">
        <v>6788737</v>
      </c>
      <c r="I53" s="9">
        <v>8381516</v>
      </c>
      <c r="J53" s="4">
        <v>28.01</v>
      </c>
      <c r="K53" s="6">
        <f>Table1[[#This Row],[Internet users]]/Table1[[#This Row],[Population]]</f>
        <v>0.80996528551636726</v>
      </c>
    </row>
    <row r="54" spans="1:11" x14ac:dyDescent="0.3">
      <c r="A54" s="4" t="s">
        <v>420</v>
      </c>
      <c r="B54" s="4" t="s">
        <v>20</v>
      </c>
      <c r="C54" s="4">
        <v>6.49</v>
      </c>
      <c r="D54" s="4">
        <v>2.1</v>
      </c>
      <c r="E54" s="4">
        <v>210.16</v>
      </c>
      <c r="F54" s="4">
        <v>4.8099999999999996</v>
      </c>
      <c r="G54" s="4">
        <v>7.21</v>
      </c>
      <c r="H54" s="5">
        <v>226557</v>
      </c>
      <c r="I54" s="5">
        <v>279993</v>
      </c>
      <c r="J54" s="4"/>
      <c r="K54" s="6">
        <f>Table1[[#This Row],[Internet users]]/Table1[[#This Row],[Population]]</f>
        <v>0.8091523716664345</v>
      </c>
    </row>
    <row r="55" spans="1:11" x14ac:dyDescent="0.3">
      <c r="A55" s="4" t="s">
        <v>373</v>
      </c>
      <c r="B55" s="4" t="s">
        <v>105</v>
      </c>
      <c r="C55" s="4">
        <v>4.4400000000000004</v>
      </c>
      <c r="D55" s="4">
        <v>1.48</v>
      </c>
      <c r="E55" s="4">
        <v>42.18</v>
      </c>
      <c r="F55" s="4">
        <v>7.17</v>
      </c>
      <c r="G55" s="4">
        <v>12.7</v>
      </c>
      <c r="H55" s="5">
        <v>77529</v>
      </c>
      <c r="I55" s="5">
        <v>96286</v>
      </c>
      <c r="J55" s="4"/>
      <c r="K55" s="6">
        <f>Table1[[#This Row],[Internet users]]/Table1[[#This Row],[Population]]</f>
        <v>0.80519494007436176</v>
      </c>
    </row>
    <row r="56" spans="1:11" x14ac:dyDescent="0.3">
      <c r="A56" s="4" t="s">
        <v>247</v>
      </c>
      <c r="B56" s="4" t="s">
        <v>31</v>
      </c>
      <c r="C56" s="4">
        <v>2.12</v>
      </c>
      <c r="D56" s="4">
        <v>0.14000000000000001</v>
      </c>
      <c r="E56" s="4">
        <v>5.9</v>
      </c>
      <c r="F56" s="4">
        <v>3.94</v>
      </c>
      <c r="G56" s="4">
        <v>2.83</v>
      </c>
      <c r="H56" s="5">
        <v>505055</v>
      </c>
      <c r="I56" s="5">
        <v>627809</v>
      </c>
      <c r="J56" s="4">
        <v>41.93</v>
      </c>
      <c r="K56" s="6">
        <f>Table1[[#This Row],[Internet users]]/Table1[[#This Row],[Population]]</f>
        <v>0.80447237933830196</v>
      </c>
    </row>
    <row r="57" spans="1:11" x14ac:dyDescent="0.3">
      <c r="A57" s="4" t="s">
        <v>113</v>
      </c>
      <c r="B57" s="4" t="s">
        <v>34</v>
      </c>
      <c r="C57" s="4">
        <v>0.89</v>
      </c>
      <c r="D57" s="4">
        <v>0.12</v>
      </c>
      <c r="E57" s="4">
        <v>7.26</v>
      </c>
      <c r="F57" s="4">
        <v>1.1200000000000001</v>
      </c>
      <c r="G57" s="4">
        <v>1.66</v>
      </c>
      <c r="H57" s="5">
        <v>25343685</v>
      </c>
      <c r="I57" s="5">
        <v>31528033</v>
      </c>
      <c r="J57" s="4">
        <v>25.87</v>
      </c>
      <c r="K57" s="6">
        <f>Table1[[#This Row],[Internet users]]/Table1[[#This Row],[Population]]</f>
        <v>0.80384605661888264</v>
      </c>
    </row>
    <row r="58" spans="1:11" x14ac:dyDescent="0.3">
      <c r="A58" s="4" t="s">
        <v>187</v>
      </c>
      <c r="B58" s="4" t="s">
        <v>14</v>
      </c>
      <c r="C58" s="4">
        <v>1.47</v>
      </c>
      <c r="D58" s="4">
        <v>0.33</v>
      </c>
      <c r="E58" s="4">
        <v>13.33</v>
      </c>
      <c r="F58" s="4">
        <v>2.12</v>
      </c>
      <c r="G58" s="4">
        <v>5.62</v>
      </c>
      <c r="H58" s="5">
        <v>27048861</v>
      </c>
      <c r="I58" s="5">
        <v>33702756</v>
      </c>
      <c r="J58" s="4">
        <v>102.79</v>
      </c>
      <c r="K58" s="6">
        <f>Table1[[#This Row],[Internet users]]/Table1[[#This Row],[Population]]</f>
        <v>0.8025711903204592</v>
      </c>
    </row>
    <row r="59" spans="1:11" x14ac:dyDescent="0.3">
      <c r="A59" s="4" t="s">
        <v>172</v>
      </c>
      <c r="B59" s="4" t="s">
        <v>173</v>
      </c>
      <c r="C59" s="4">
        <v>1.38</v>
      </c>
      <c r="D59" s="4">
        <v>0.09</v>
      </c>
      <c r="E59" s="4">
        <v>17.75</v>
      </c>
      <c r="F59" s="4">
        <v>1.85</v>
      </c>
      <c r="G59" s="4">
        <v>2.06</v>
      </c>
      <c r="H59" s="5">
        <v>2243448</v>
      </c>
      <c r="I59" s="5">
        <v>2801264</v>
      </c>
      <c r="J59" s="4">
        <v>50.13</v>
      </c>
      <c r="K59" s="6">
        <f>Table1[[#This Row],[Internet users]]/Table1[[#This Row],[Population]]</f>
        <v>0.80086989301972256</v>
      </c>
    </row>
    <row r="60" spans="1:11" x14ac:dyDescent="0.3">
      <c r="A60" s="4" t="s">
        <v>452</v>
      </c>
      <c r="B60" s="4" t="s">
        <v>14</v>
      </c>
      <c r="C60" s="4">
        <v>8.84</v>
      </c>
      <c r="D60" s="4">
        <v>2.06</v>
      </c>
      <c r="E60" s="4">
        <v>59.1</v>
      </c>
      <c r="F60" s="4">
        <v>13.56</v>
      </c>
      <c r="G60" s="4">
        <v>20.25</v>
      </c>
      <c r="H60" s="5">
        <v>952369</v>
      </c>
      <c r="I60" s="5">
        <v>1189265</v>
      </c>
      <c r="J60" s="4">
        <v>75.48</v>
      </c>
      <c r="K60" s="6">
        <f>Table1[[#This Row],[Internet users]]/Table1[[#This Row],[Population]]</f>
        <v>0.8008046987004579</v>
      </c>
    </row>
    <row r="61" spans="1:11" x14ac:dyDescent="0.3">
      <c r="A61" s="4" t="s">
        <v>249</v>
      </c>
      <c r="B61" s="4" t="s">
        <v>20</v>
      </c>
      <c r="C61" s="4">
        <v>2.14</v>
      </c>
      <c r="D61" s="4">
        <v>1</v>
      </c>
      <c r="E61" s="4">
        <v>70</v>
      </c>
      <c r="F61" s="4">
        <v>2</v>
      </c>
      <c r="G61" s="4">
        <v>4.26</v>
      </c>
      <c r="H61" s="5">
        <v>132221</v>
      </c>
      <c r="I61" s="5">
        <v>165768</v>
      </c>
      <c r="J61" s="4"/>
      <c r="K61" s="6">
        <f>Table1[[#This Row],[Internet users]]/Table1[[#This Row],[Population]]</f>
        <v>0.79762680372568895</v>
      </c>
    </row>
    <row r="62" spans="1:11" x14ac:dyDescent="0.3">
      <c r="A62" s="4" t="s">
        <v>38</v>
      </c>
      <c r="B62" s="4" t="s">
        <v>39</v>
      </c>
      <c r="C62" s="4">
        <v>0.39</v>
      </c>
      <c r="D62" s="4">
        <v>0.24</v>
      </c>
      <c r="E62" s="4">
        <v>1.83</v>
      </c>
      <c r="F62" s="4">
        <v>0.71</v>
      </c>
      <c r="G62" s="4">
        <v>1.87</v>
      </c>
      <c r="H62" s="5">
        <v>14864456</v>
      </c>
      <c r="I62" s="5">
        <v>18729160</v>
      </c>
      <c r="J62" s="4">
        <v>22.49</v>
      </c>
      <c r="K62" s="6">
        <f>Table1[[#This Row],[Internet users]]/Table1[[#This Row],[Population]]</f>
        <v>0.79365310563848035</v>
      </c>
    </row>
    <row r="63" spans="1:11" x14ac:dyDescent="0.3">
      <c r="A63" s="4" t="s">
        <v>213</v>
      </c>
      <c r="B63" s="4" t="s">
        <v>31</v>
      </c>
      <c r="C63" s="4">
        <v>1.72</v>
      </c>
      <c r="D63" s="4">
        <v>0.02</v>
      </c>
      <c r="E63" s="4">
        <v>88.68</v>
      </c>
      <c r="F63" s="4">
        <v>1.48</v>
      </c>
      <c r="G63" s="4">
        <v>2.21</v>
      </c>
      <c r="H63" s="5">
        <v>1640893</v>
      </c>
      <c r="I63" s="5">
        <v>2077837</v>
      </c>
      <c r="J63" s="4">
        <v>54.57</v>
      </c>
      <c r="K63" s="6">
        <f>Table1[[#This Row],[Internet users]]/Table1[[#This Row],[Population]]</f>
        <v>0.78971209002438592</v>
      </c>
    </row>
    <row r="64" spans="1:11" x14ac:dyDescent="0.3">
      <c r="A64" s="4" t="s">
        <v>239</v>
      </c>
      <c r="B64" s="4" t="s">
        <v>23</v>
      </c>
      <c r="C64" s="4">
        <v>2.0099999999999998</v>
      </c>
      <c r="D64" s="4">
        <v>0.82</v>
      </c>
      <c r="E64" s="4">
        <v>59.04</v>
      </c>
      <c r="F64" s="4">
        <v>3.62</v>
      </c>
      <c r="G64" s="4">
        <v>13.1</v>
      </c>
      <c r="H64" s="5">
        <v>344970</v>
      </c>
      <c r="I64" s="5">
        <v>439248</v>
      </c>
      <c r="J64" s="4">
        <v>49.66</v>
      </c>
      <c r="K64" s="6">
        <f>Table1[[#This Row],[Internet users]]/Table1[[#This Row],[Population]]</f>
        <v>0.78536498743306737</v>
      </c>
    </row>
    <row r="65" spans="1:11" x14ac:dyDescent="0.3">
      <c r="A65" s="4" t="s">
        <v>446</v>
      </c>
      <c r="B65" s="4" t="s">
        <v>31</v>
      </c>
      <c r="C65" s="4">
        <v>8.15</v>
      </c>
      <c r="D65" s="4">
        <v>0.94</v>
      </c>
      <c r="E65" s="4">
        <v>36.049999999999997</v>
      </c>
      <c r="F65" s="4">
        <v>7.95</v>
      </c>
      <c r="G65" s="4">
        <v>32.71</v>
      </c>
      <c r="H65" s="5">
        <v>8358728</v>
      </c>
      <c r="I65" s="5">
        <v>10665677</v>
      </c>
      <c r="J65" s="4">
        <v>44.55</v>
      </c>
      <c r="K65" s="6">
        <f>Table1[[#This Row],[Internet users]]/Table1[[#This Row],[Population]]</f>
        <v>0.78370346298692528</v>
      </c>
    </row>
    <row r="66" spans="1:11" x14ac:dyDescent="0.3">
      <c r="A66" s="4" t="s">
        <v>223</v>
      </c>
      <c r="B66" s="4" t="s">
        <v>17</v>
      </c>
      <c r="C66" s="4">
        <v>1.82</v>
      </c>
      <c r="D66" s="4">
        <v>0.24</v>
      </c>
      <c r="E66" s="4">
        <v>9.8000000000000007</v>
      </c>
      <c r="F66" s="4">
        <v>1.86</v>
      </c>
      <c r="G66" s="4">
        <v>6.42</v>
      </c>
      <c r="H66" s="5">
        <v>7763795</v>
      </c>
      <c r="I66" s="5">
        <v>9949537</v>
      </c>
      <c r="J66" s="4">
        <v>30.4</v>
      </c>
      <c r="K66" s="6">
        <f>Table1[[#This Row],[Internet users]]/Table1[[#This Row],[Population]]</f>
        <v>0.7803172147608477</v>
      </c>
    </row>
    <row r="67" spans="1:11" x14ac:dyDescent="0.3">
      <c r="A67" s="4" t="s">
        <v>136</v>
      </c>
      <c r="B67" s="4" t="s">
        <v>34</v>
      </c>
      <c r="C67" s="4">
        <v>1.06</v>
      </c>
      <c r="D67" s="4">
        <v>0.34</v>
      </c>
      <c r="E67" s="4">
        <v>10.32</v>
      </c>
      <c r="F67" s="4">
        <v>1.23</v>
      </c>
      <c r="G67" s="4">
        <v>2.78</v>
      </c>
      <c r="H67" s="5">
        <v>54043108</v>
      </c>
      <c r="I67" s="5">
        <v>69428453</v>
      </c>
      <c r="J67" s="4">
        <v>33.49</v>
      </c>
      <c r="K67" s="6">
        <f>Table1[[#This Row],[Internet users]]/Table1[[#This Row],[Population]]</f>
        <v>0.77840000266173293</v>
      </c>
    </row>
    <row r="68" spans="1:11" x14ac:dyDescent="0.3">
      <c r="A68" s="4" t="s">
        <v>462</v>
      </c>
      <c r="B68" s="4" t="s">
        <v>105</v>
      </c>
      <c r="C68" s="4">
        <v>11.97</v>
      </c>
      <c r="D68" s="4">
        <v>4.79</v>
      </c>
      <c r="E68" s="4">
        <v>41.48</v>
      </c>
      <c r="F68" s="4">
        <v>23.05</v>
      </c>
      <c r="G68" s="4">
        <v>26.79</v>
      </c>
      <c r="H68" s="5">
        <v>49906</v>
      </c>
      <c r="I68" s="5">
        <v>64174</v>
      </c>
      <c r="J68" s="4"/>
      <c r="K68" s="6">
        <f>Table1[[#This Row],[Internet users]]/Table1[[#This Row],[Population]]</f>
        <v>0.77766696793093781</v>
      </c>
    </row>
    <row r="69" spans="1:11" x14ac:dyDescent="0.3">
      <c r="A69" s="4" t="s">
        <v>33</v>
      </c>
      <c r="B69" s="4" t="s">
        <v>34</v>
      </c>
      <c r="C69" s="4">
        <v>0.34</v>
      </c>
      <c r="D69" s="4">
        <v>0.11</v>
      </c>
      <c r="E69" s="4">
        <v>2.2200000000000002</v>
      </c>
      <c r="F69" s="4">
        <v>0.7</v>
      </c>
      <c r="G69" s="4">
        <v>0.99</v>
      </c>
      <c r="H69" s="5">
        <v>129180000</v>
      </c>
      <c r="I69" s="5">
        <v>166303498</v>
      </c>
      <c r="J69" s="4">
        <v>10.43</v>
      </c>
      <c r="K69" s="6">
        <f>Table1[[#This Row],[Internet users]]/Table1[[#This Row],[Population]]</f>
        <v>0.77677259680971955</v>
      </c>
    </row>
    <row r="70" spans="1:11" x14ac:dyDescent="0.3">
      <c r="A70" s="4" t="s">
        <v>245</v>
      </c>
      <c r="B70" s="4" t="s">
        <v>14</v>
      </c>
      <c r="C70" s="4">
        <v>2.12</v>
      </c>
      <c r="D70" s="4">
        <v>0.13</v>
      </c>
      <c r="E70" s="4">
        <v>8.67</v>
      </c>
      <c r="F70" s="4">
        <v>4.58</v>
      </c>
      <c r="G70" s="4">
        <v>11.28</v>
      </c>
      <c r="H70" s="5">
        <v>3717818</v>
      </c>
      <c r="I70" s="5">
        <v>4829473</v>
      </c>
      <c r="J70" s="4">
        <v>44.47</v>
      </c>
      <c r="K70" s="6">
        <f>Table1[[#This Row],[Internet users]]/Table1[[#This Row],[Population]]</f>
        <v>0.76981857026636236</v>
      </c>
    </row>
    <row r="71" spans="1:11" x14ac:dyDescent="0.3">
      <c r="A71" s="4" t="s">
        <v>207</v>
      </c>
      <c r="B71" s="4" t="s">
        <v>31</v>
      </c>
      <c r="C71" s="4">
        <v>1.7</v>
      </c>
      <c r="D71" s="4">
        <v>0.16</v>
      </c>
      <c r="E71" s="4">
        <v>8.0399999999999991</v>
      </c>
      <c r="F71" s="4">
        <v>5.32</v>
      </c>
      <c r="G71" s="4">
        <v>2.91</v>
      </c>
      <c r="H71" s="5">
        <v>7461297</v>
      </c>
      <c r="I71" s="5">
        <v>9707499</v>
      </c>
      <c r="J71" s="4">
        <v>41.32</v>
      </c>
      <c r="K71" s="6">
        <f>Table1[[#This Row],[Internet users]]/Table1[[#This Row],[Population]]</f>
        <v>0.76861166815469151</v>
      </c>
    </row>
    <row r="72" spans="1:11" x14ac:dyDescent="0.3">
      <c r="A72" s="4" t="s">
        <v>119</v>
      </c>
      <c r="B72" s="4" t="s">
        <v>39</v>
      </c>
      <c r="C72" s="4">
        <v>0.92</v>
      </c>
      <c r="D72" s="4">
        <v>0.18</v>
      </c>
      <c r="E72" s="4">
        <v>2.72</v>
      </c>
      <c r="F72" s="4">
        <v>1.01</v>
      </c>
      <c r="G72" s="4">
        <v>3.5</v>
      </c>
      <c r="H72" s="5">
        <v>160010801</v>
      </c>
      <c r="I72" s="5">
        <v>209469323</v>
      </c>
      <c r="J72" s="4">
        <v>22.3</v>
      </c>
      <c r="K72" s="6">
        <f>Table1[[#This Row],[Internet users]]/Table1[[#This Row],[Population]]</f>
        <v>0.76388656204326399</v>
      </c>
    </row>
    <row r="73" spans="1:11" x14ac:dyDescent="0.3">
      <c r="A73" s="4" t="s">
        <v>126</v>
      </c>
      <c r="B73" s="4" t="s">
        <v>31</v>
      </c>
      <c r="C73" s="4">
        <v>0.96</v>
      </c>
      <c r="D73" s="4">
        <v>0.48</v>
      </c>
      <c r="E73" s="4">
        <v>9.6</v>
      </c>
      <c r="F73" s="4">
        <v>1.75</v>
      </c>
      <c r="G73" s="4">
        <v>3.62</v>
      </c>
      <c r="H73" s="5">
        <v>1589659</v>
      </c>
      <c r="I73" s="5">
        <v>2082957</v>
      </c>
      <c r="J73" s="4">
        <v>64.23</v>
      </c>
      <c r="K73" s="6">
        <f>Table1[[#This Row],[Internet users]]/Table1[[#This Row],[Population]]</f>
        <v>0.76317417978383617</v>
      </c>
    </row>
    <row r="74" spans="1:11" x14ac:dyDescent="0.3">
      <c r="A74" s="4" t="s">
        <v>225</v>
      </c>
      <c r="B74" s="4" t="s">
        <v>105</v>
      </c>
      <c r="C74" s="4">
        <v>1.9</v>
      </c>
      <c r="D74" s="4">
        <v>0.21</v>
      </c>
      <c r="E74" s="4">
        <v>143.18</v>
      </c>
      <c r="F74" s="4">
        <v>5.92</v>
      </c>
      <c r="G74" s="4">
        <v>2.69</v>
      </c>
      <c r="H74" s="5">
        <v>1058744</v>
      </c>
      <c r="I74" s="5">
        <v>1389843</v>
      </c>
      <c r="J74" s="4">
        <v>28.37</v>
      </c>
      <c r="K74" s="6">
        <f>Table1[[#This Row],[Internet users]]/Table1[[#This Row],[Population]]</f>
        <v>0.7617723728507465</v>
      </c>
    </row>
    <row r="75" spans="1:11" x14ac:dyDescent="0.3">
      <c r="A75" s="4" t="s">
        <v>30</v>
      </c>
      <c r="B75" s="4" t="s">
        <v>31</v>
      </c>
      <c r="C75" s="4">
        <v>0.32</v>
      </c>
      <c r="D75" s="4">
        <v>7.0000000000000007E-2</v>
      </c>
      <c r="E75" s="4">
        <v>2.79</v>
      </c>
      <c r="F75" s="4">
        <v>1.1200000000000001</v>
      </c>
      <c r="G75" s="4">
        <v>2.82</v>
      </c>
      <c r="H75" s="5">
        <v>3083783</v>
      </c>
      <c r="I75" s="5">
        <v>4051944</v>
      </c>
      <c r="J75" s="4">
        <v>29.46</v>
      </c>
      <c r="K75" s="6">
        <f>Table1[[#This Row],[Internet users]]/Table1[[#This Row],[Population]]</f>
        <v>0.76106259119079633</v>
      </c>
    </row>
    <row r="76" spans="1:11" x14ac:dyDescent="0.3">
      <c r="A76" s="4" t="s">
        <v>60</v>
      </c>
      <c r="B76" s="4" t="s">
        <v>17</v>
      </c>
      <c r="C76" s="4">
        <v>0.59</v>
      </c>
      <c r="D76" s="4">
        <v>0.25</v>
      </c>
      <c r="E76" s="4">
        <v>2.35</v>
      </c>
      <c r="F76" s="4">
        <v>0.46</v>
      </c>
      <c r="G76" s="4">
        <v>0.49</v>
      </c>
      <c r="H76" s="5">
        <v>13913699</v>
      </c>
      <c r="I76" s="5">
        <v>18319618</v>
      </c>
      <c r="J76" s="4">
        <v>18.71</v>
      </c>
      <c r="K76" s="6">
        <f>Table1[[#This Row],[Internet users]]/Table1[[#This Row],[Population]]</f>
        <v>0.75949722314078816</v>
      </c>
    </row>
    <row r="77" spans="1:11" x14ac:dyDescent="0.3">
      <c r="A77" s="4" t="s">
        <v>273</v>
      </c>
      <c r="B77" s="4" t="s">
        <v>39</v>
      </c>
      <c r="C77" s="4">
        <v>2.38</v>
      </c>
      <c r="D77" s="4">
        <v>0.44</v>
      </c>
      <c r="E77" s="4">
        <v>11.47</v>
      </c>
      <c r="F77" s="4">
        <v>1.45</v>
      </c>
      <c r="G77" s="4">
        <v>7.4</v>
      </c>
      <c r="H77" s="5">
        <v>33561876</v>
      </c>
      <c r="I77" s="5">
        <v>44361150</v>
      </c>
      <c r="J77" s="4">
        <v>20.64</v>
      </c>
      <c r="K77" s="6">
        <f>Table1[[#This Row],[Internet users]]/Table1[[#This Row],[Population]]</f>
        <v>0.75656009819402792</v>
      </c>
    </row>
    <row r="78" spans="1:11" x14ac:dyDescent="0.3">
      <c r="A78" s="4" t="s">
        <v>448</v>
      </c>
      <c r="B78" s="4" t="s">
        <v>23</v>
      </c>
      <c r="C78" s="4">
        <v>8.16</v>
      </c>
      <c r="D78" s="4">
        <v>1.06</v>
      </c>
      <c r="E78" s="4">
        <v>768.87</v>
      </c>
      <c r="F78" s="4">
        <v>12.06</v>
      </c>
      <c r="G78" s="4">
        <v>4.91</v>
      </c>
      <c r="H78" s="5">
        <v>7923438</v>
      </c>
      <c r="I78" s="5">
        <v>10522246</v>
      </c>
      <c r="J78" s="4">
        <v>59.42</v>
      </c>
      <c r="K78" s="6">
        <f>Table1[[#This Row],[Internet users]]/Table1[[#This Row],[Population]]</f>
        <v>0.7530177492523934</v>
      </c>
    </row>
    <row r="79" spans="1:11" x14ac:dyDescent="0.3">
      <c r="A79" s="4" t="s">
        <v>45</v>
      </c>
      <c r="B79" s="4" t="s">
        <v>17</v>
      </c>
      <c r="C79" s="4">
        <v>0.43</v>
      </c>
      <c r="D79" s="4">
        <v>0.02</v>
      </c>
      <c r="E79" s="4">
        <v>16.62</v>
      </c>
      <c r="F79" s="4">
        <v>0.89</v>
      </c>
      <c r="G79" s="4">
        <v>2.36</v>
      </c>
      <c r="H79" s="5">
        <v>7048231</v>
      </c>
      <c r="I79" s="5">
        <v>9452617</v>
      </c>
      <c r="J79" s="4">
        <v>9.99</v>
      </c>
      <c r="K79" s="6">
        <f>Table1[[#This Row],[Internet users]]/Table1[[#This Row],[Population]]</f>
        <v>0.74563805980925701</v>
      </c>
    </row>
    <row r="80" spans="1:11" x14ac:dyDescent="0.3">
      <c r="A80" s="4" t="s">
        <v>355</v>
      </c>
      <c r="B80" s="4" t="s">
        <v>23</v>
      </c>
      <c r="C80" s="4">
        <v>3.85</v>
      </c>
      <c r="D80" s="4">
        <v>1.18</v>
      </c>
      <c r="E80" s="4">
        <v>14.15</v>
      </c>
      <c r="F80" s="4">
        <v>4.97</v>
      </c>
      <c r="G80" s="4">
        <v>13.98</v>
      </c>
      <c r="H80" s="5">
        <v>7622142</v>
      </c>
      <c r="I80" s="5">
        <v>10256193</v>
      </c>
      <c r="J80" s="4">
        <v>64.3</v>
      </c>
      <c r="K80" s="6">
        <f>Table1[[#This Row],[Internet users]]/Table1[[#This Row],[Population]]</f>
        <v>0.74317458729569541</v>
      </c>
    </row>
    <row r="81" spans="1:11" x14ac:dyDescent="0.3">
      <c r="A81" s="4" t="s">
        <v>369</v>
      </c>
      <c r="B81" s="4" t="s">
        <v>20</v>
      </c>
      <c r="C81" s="4">
        <v>4.2</v>
      </c>
      <c r="D81" s="4">
        <v>1.65</v>
      </c>
      <c r="E81" s="4">
        <v>52.66</v>
      </c>
      <c r="F81" s="4">
        <v>15.42</v>
      </c>
      <c r="G81" s="4">
        <v>4.96</v>
      </c>
      <c r="H81" s="5">
        <v>205746</v>
      </c>
      <c r="I81" s="5">
        <v>277679</v>
      </c>
      <c r="J81" s="4"/>
      <c r="K81" s="6">
        <f>Table1[[#This Row],[Internet users]]/Table1[[#This Row],[Population]]</f>
        <v>0.74094908149337901</v>
      </c>
    </row>
    <row r="82" spans="1:11" x14ac:dyDescent="0.3">
      <c r="A82" s="4" t="s">
        <v>43</v>
      </c>
      <c r="B82" s="4" t="s">
        <v>34</v>
      </c>
      <c r="C82" s="4">
        <v>0.42</v>
      </c>
      <c r="D82" s="4">
        <v>0.17</v>
      </c>
      <c r="E82" s="4">
        <v>2.94</v>
      </c>
      <c r="F82" s="4">
        <v>0.64</v>
      </c>
      <c r="G82" s="4">
        <v>2.99</v>
      </c>
      <c r="H82" s="5">
        <v>196000000</v>
      </c>
      <c r="I82" s="5">
        <v>267670543</v>
      </c>
      <c r="J82" s="4">
        <v>17.7</v>
      </c>
      <c r="K82" s="6">
        <f>Table1[[#This Row],[Internet users]]/Table1[[#This Row],[Population]]</f>
        <v>0.73224344301494548</v>
      </c>
    </row>
    <row r="83" spans="1:11" x14ac:dyDescent="0.3">
      <c r="A83" s="4" t="s">
        <v>305</v>
      </c>
      <c r="B83" s="4" t="s">
        <v>31</v>
      </c>
      <c r="C83" s="4">
        <v>2.8</v>
      </c>
      <c r="D83" s="4">
        <v>0.72</v>
      </c>
      <c r="E83" s="4">
        <v>96.39</v>
      </c>
      <c r="F83" s="4">
        <v>2.83</v>
      </c>
      <c r="G83" s="4">
        <v>5.28</v>
      </c>
      <c r="H83" s="5">
        <v>2105339</v>
      </c>
      <c r="I83" s="5">
        <v>2882740</v>
      </c>
      <c r="J83" s="4">
        <v>40.479999999999997</v>
      </c>
      <c r="K83" s="6">
        <f>Table1[[#This Row],[Internet users]]/Table1[[#This Row],[Population]]</f>
        <v>0.73032566239064223</v>
      </c>
    </row>
    <row r="84" spans="1:11" x14ac:dyDescent="0.3">
      <c r="A84" s="4" t="s">
        <v>215</v>
      </c>
      <c r="B84" s="4" t="s">
        <v>105</v>
      </c>
      <c r="C84" s="4">
        <v>1.76</v>
      </c>
      <c r="D84" s="4">
        <v>1.1100000000000001</v>
      </c>
      <c r="E84" s="4">
        <v>14.62</v>
      </c>
      <c r="F84" s="4">
        <v>4.92</v>
      </c>
      <c r="G84" s="4">
        <v>14.6</v>
      </c>
      <c r="H84" s="5">
        <v>51467</v>
      </c>
      <c r="I84" s="5">
        <v>71625</v>
      </c>
      <c r="J84" s="4"/>
      <c r="K84" s="6">
        <f>Table1[[#This Row],[Internet users]]/Table1[[#This Row],[Population]]</f>
        <v>0.7185619546247819</v>
      </c>
    </row>
    <row r="85" spans="1:11" x14ac:dyDescent="0.3">
      <c r="A85" s="4" t="s">
        <v>49</v>
      </c>
      <c r="B85" s="4" t="s">
        <v>34</v>
      </c>
      <c r="C85" s="4">
        <v>0.49</v>
      </c>
      <c r="D85" s="4">
        <v>7.0000000000000007E-2</v>
      </c>
      <c r="E85" s="4">
        <v>5.55</v>
      </c>
      <c r="F85" s="4">
        <v>0.56999999999999995</v>
      </c>
      <c r="G85" s="4">
        <v>1.31</v>
      </c>
      <c r="H85" s="5">
        <v>68172134</v>
      </c>
      <c r="I85" s="5">
        <v>95545962</v>
      </c>
      <c r="J85" s="4">
        <v>33.9</v>
      </c>
      <c r="K85" s="6">
        <f>Table1[[#This Row],[Internet users]]/Table1[[#This Row],[Population]]</f>
        <v>0.71350094313771206</v>
      </c>
    </row>
    <row r="86" spans="1:11" x14ac:dyDescent="0.3">
      <c r="A86" s="4" t="s">
        <v>351</v>
      </c>
      <c r="B86" s="4" t="s">
        <v>124</v>
      </c>
      <c r="C86" s="4">
        <v>3.62</v>
      </c>
      <c r="D86" s="4">
        <v>1.2</v>
      </c>
      <c r="E86" s="4">
        <v>12.06</v>
      </c>
      <c r="F86" s="4">
        <v>4.7699999999999996</v>
      </c>
      <c r="G86" s="4">
        <v>15.05</v>
      </c>
      <c r="H86" s="5">
        <v>92010000</v>
      </c>
      <c r="I86" s="5">
        <v>128972439</v>
      </c>
      <c r="J86" s="4">
        <v>29.81</v>
      </c>
      <c r="K86" s="6">
        <f>Table1[[#This Row],[Internet users]]/Table1[[#This Row],[Population]]</f>
        <v>0.7134082344523236</v>
      </c>
    </row>
    <row r="87" spans="1:11" x14ac:dyDescent="0.3">
      <c r="A87" s="4" t="s">
        <v>500</v>
      </c>
      <c r="B87" s="4" t="s">
        <v>39</v>
      </c>
      <c r="C87" s="4" t="s">
        <v>501</v>
      </c>
      <c r="D87" s="4"/>
      <c r="E87" s="4"/>
      <c r="F87" s="4"/>
      <c r="G87" s="4"/>
      <c r="H87" s="5">
        <v>20564451</v>
      </c>
      <c r="I87" s="5">
        <v>28887118</v>
      </c>
      <c r="J87" s="4">
        <v>5.68</v>
      </c>
      <c r="K87" s="6">
        <f>Table1[[#This Row],[Internet users]]/Table1[[#This Row],[Population]]</f>
        <v>0.71189001962743392</v>
      </c>
    </row>
    <row r="88" spans="1:11" x14ac:dyDescent="0.3">
      <c r="A88" s="4" t="s">
        <v>54</v>
      </c>
      <c r="B88" s="4" t="s">
        <v>34</v>
      </c>
      <c r="C88" s="4">
        <v>0.52</v>
      </c>
      <c r="D88" s="4">
        <v>0.3</v>
      </c>
      <c r="E88" s="4">
        <v>1.21</v>
      </c>
      <c r="F88" s="4">
        <v>0.61</v>
      </c>
      <c r="G88" s="4">
        <v>9.89</v>
      </c>
      <c r="H88" s="5">
        <v>1010740000</v>
      </c>
      <c r="I88" s="5">
        <v>1427647786</v>
      </c>
      <c r="J88" s="4">
        <v>83.43</v>
      </c>
      <c r="K88" s="6">
        <f>Table1[[#This Row],[Internet users]]/Table1[[#This Row],[Population]]</f>
        <v>0.70797574157411958</v>
      </c>
    </row>
    <row r="89" spans="1:11" x14ac:dyDescent="0.3">
      <c r="A89" s="4" t="s">
        <v>82</v>
      </c>
      <c r="B89" s="4" t="s">
        <v>17</v>
      </c>
      <c r="C89" s="4">
        <v>0.75</v>
      </c>
      <c r="D89" s="4">
        <v>0.14000000000000001</v>
      </c>
      <c r="E89" s="4">
        <v>35.880000000000003</v>
      </c>
      <c r="F89" s="4">
        <v>0.46</v>
      </c>
      <c r="G89" s="4">
        <v>5.93</v>
      </c>
      <c r="H89" s="5">
        <v>31100000</v>
      </c>
      <c r="I89" s="5">
        <v>44246156</v>
      </c>
      <c r="J89" s="4">
        <v>15.62</v>
      </c>
      <c r="K89" s="6">
        <f>Table1[[#This Row],[Internet users]]/Table1[[#This Row],[Population]]</f>
        <v>0.70288591849651305</v>
      </c>
    </row>
    <row r="90" spans="1:11" x14ac:dyDescent="0.3">
      <c r="A90" s="4" t="s">
        <v>269</v>
      </c>
      <c r="B90" s="4" t="s">
        <v>124</v>
      </c>
      <c r="C90" s="4">
        <v>2.36</v>
      </c>
      <c r="D90" s="4">
        <v>1.6</v>
      </c>
      <c r="E90" s="4">
        <v>2.94</v>
      </c>
      <c r="F90" s="4">
        <v>2.74</v>
      </c>
      <c r="G90" s="4">
        <v>4.8899999999999997</v>
      </c>
      <c r="H90" s="5">
        <v>3511549</v>
      </c>
      <c r="I90" s="5">
        <v>4999441</v>
      </c>
      <c r="J90" s="4">
        <v>17.46</v>
      </c>
      <c r="K90" s="6">
        <f>Table1[[#This Row],[Internet users]]/Table1[[#This Row],[Population]]</f>
        <v>0.70238832701496023</v>
      </c>
    </row>
    <row r="91" spans="1:11" x14ac:dyDescent="0.3">
      <c r="A91" s="4" t="s">
        <v>166</v>
      </c>
      <c r="B91" s="4" t="s">
        <v>31</v>
      </c>
      <c r="C91" s="4">
        <v>1.3</v>
      </c>
      <c r="D91" s="4">
        <v>0.17</v>
      </c>
      <c r="E91" s="4">
        <v>14.09</v>
      </c>
      <c r="F91" s="4">
        <v>1.6</v>
      </c>
      <c r="G91" s="4">
        <v>4.83</v>
      </c>
      <c r="H91" s="5">
        <v>6182411</v>
      </c>
      <c r="I91" s="5">
        <v>8802754</v>
      </c>
      <c r="J91" s="4">
        <v>45.81</v>
      </c>
      <c r="K91" s="6">
        <f>Table1[[#This Row],[Internet users]]/Table1[[#This Row],[Population]]</f>
        <v>0.70232690814715482</v>
      </c>
    </row>
    <row r="92" spans="1:11" x14ac:dyDescent="0.3">
      <c r="A92" s="4" t="s">
        <v>275</v>
      </c>
      <c r="B92" s="4" t="s">
        <v>31</v>
      </c>
      <c r="C92" s="4">
        <v>2.39</v>
      </c>
      <c r="D92" s="4">
        <v>0.63</v>
      </c>
      <c r="E92" s="4">
        <v>21.26</v>
      </c>
      <c r="F92" s="4">
        <v>3.04</v>
      </c>
      <c r="G92" s="4">
        <v>3.05</v>
      </c>
      <c r="H92" s="5">
        <v>2320000</v>
      </c>
      <c r="I92" s="5">
        <v>3323925</v>
      </c>
      <c r="J92" s="4">
        <v>28.49</v>
      </c>
      <c r="K92" s="6">
        <f>Table1[[#This Row],[Internet users]]/Table1[[#This Row],[Population]]</f>
        <v>0.69797002038252964</v>
      </c>
    </row>
    <row r="93" spans="1:11" x14ac:dyDescent="0.3">
      <c r="A93" s="4" t="s">
        <v>107</v>
      </c>
      <c r="B93" s="4" t="s">
        <v>26</v>
      </c>
      <c r="C93" s="4">
        <v>0.88</v>
      </c>
      <c r="D93" s="4">
        <v>0.03</v>
      </c>
      <c r="E93" s="4">
        <v>5.25</v>
      </c>
      <c r="F93" s="4">
        <v>1.39</v>
      </c>
      <c r="G93" s="4">
        <v>7.91</v>
      </c>
      <c r="H93" s="5">
        <v>136203231</v>
      </c>
      <c r="I93" s="5">
        <v>195874685</v>
      </c>
      <c r="J93" s="4">
        <v>18.920000000000002</v>
      </c>
      <c r="K93" s="6">
        <f>Table1[[#This Row],[Internet users]]/Table1[[#This Row],[Population]]</f>
        <v>0.69535903018810219</v>
      </c>
    </row>
    <row r="94" spans="1:11" x14ac:dyDescent="0.3">
      <c r="A94" s="4" t="s">
        <v>361</v>
      </c>
      <c r="B94" s="4" t="s">
        <v>332</v>
      </c>
      <c r="C94" s="4">
        <v>3.97</v>
      </c>
      <c r="D94" s="4">
        <v>2.2200000000000002</v>
      </c>
      <c r="E94" s="4">
        <v>11.43</v>
      </c>
      <c r="F94" s="4">
        <v>9.56</v>
      </c>
      <c r="G94" s="4">
        <v>11.12</v>
      </c>
      <c r="H94" s="5">
        <v>39242</v>
      </c>
      <c r="I94" s="5">
        <v>56564</v>
      </c>
      <c r="J94" s="4"/>
      <c r="K94" s="6">
        <f>Table1[[#This Row],[Internet users]]/Table1[[#This Row],[Population]]</f>
        <v>0.69376281733965062</v>
      </c>
    </row>
    <row r="95" spans="1:11" x14ac:dyDescent="0.3">
      <c r="A95" s="4" t="s">
        <v>389</v>
      </c>
      <c r="B95" s="4" t="s">
        <v>14</v>
      </c>
      <c r="C95" s="4">
        <v>4.8099999999999996</v>
      </c>
      <c r="D95" s="4">
        <v>1.21</v>
      </c>
      <c r="E95" s="4">
        <v>77.7</v>
      </c>
      <c r="F95" s="4">
        <v>3.82</v>
      </c>
      <c r="G95" s="4">
        <v>5.84</v>
      </c>
      <c r="H95" s="5">
        <v>4755187</v>
      </c>
      <c r="I95" s="5">
        <v>6859408</v>
      </c>
      <c r="J95" s="4">
        <v>16.38</v>
      </c>
      <c r="K95" s="6">
        <f>Table1[[#This Row],[Internet users]]/Table1[[#This Row],[Population]]</f>
        <v>0.69323577194999919</v>
      </c>
    </row>
    <row r="96" spans="1:11" x14ac:dyDescent="0.3">
      <c r="A96" s="4" t="s">
        <v>389</v>
      </c>
      <c r="B96" s="4" t="s">
        <v>14</v>
      </c>
      <c r="C96" s="4">
        <v>4.8099999999999996</v>
      </c>
      <c r="D96" s="4">
        <v>1.21</v>
      </c>
      <c r="E96" s="4">
        <v>77.7</v>
      </c>
      <c r="F96" s="4">
        <v>3.82</v>
      </c>
      <c r="G96" s="4">
        <v>5.84</v>
      </c>
      <c r="H96" s="5">
        <v>4755187</v>
      </c>
      <c r="I96" s="5">
        <v>6859408</v>
      </c>
      <c r="J96" s="4">
        <v>16.38</v>
      </c>
      <c r="K96" s="6">
        <f>Table1[[#This Row],[Internet users]]/Table1[[#This Row],[Population]]</f>
        <v>0.69323577194999919</v>
      </c>
    </row>
    <row r="97" spans="1:11" x14ac:dyDescent="0.3">
      <c r="A97" s="4" t="s">
        <v>90</v>
      </c>
      <c r="B97" s="4" t="s">
        <v>17</v>
      </c>
      <c r="C97" s="4">
        <v>0.76</v>
      </c>
      <c r="D97" s="4">
        <v>0.22</v>
      </c>
      <c r="E97" s="4">
        <v>13.02</v>
      </c>
      <c r="F97" s="4">
        <v>1.05</v>
      </c>
      <c r="G97" s="4">
        <v>2.5099999999999998</v>
      </c>
      <c r="H97" s="5">
        <v>2043110</v>
      </c>
      <c r="I97" s="5">
        <v>2951745</v>
      </c>
      <c r="J97" s="4">
        <v>22.01</v>
      </c>
      <c r="K97" s="6">
        <f>Table1[[#This Row],[Internet users]]/Table1[[#This Row],[Population]]</f>
        <v>0.69217022473147238</v>
      </c>
    </row>
    <row r="98" spans="1:11" x14ac:dyDescent="0.3">
      <c r="A98" s="4" t="s">
        <v>217</v>
      </c>
      <c r="B98" s="4" t="s">
        <v>34</v>
      </c>
      <c r="C98" s="4">
        <v>1.77</v>
      </c>
      <c r="D98" s="4">
        <v>0.95</v>
      </c>
      <c r="E98" s="4">
        <v>8.2100000000000009</v>
      </c>
      <c r="F98" s="4">
        <v>1.42</v>
      </c>
      <c r="G98" s="4">
        <v>3.16</v>
      </c>
      <c r="H98" s="5">
        <v>73003313</v>
      </c>
      <c r="I98" s="5">
        <v>106651394</v>
      </c>
      <c r="J98" s="4">
        <v>19.48</v>
      </c>
      <c r="K98" s="6">
        <f>Table1[[#This Row],[Internet users]]/Table1[[#This Row],[Population]]</f>
        <v>0.68450406752301807</v>
      </c>
    </row>
    <row r="99" spans="1:11" x14ac:dyDescent="0.3">
      <c r="A99" s="4" t="s">
        <v>189</v>
      </c>
      <c r="B99" s="4" t="s">
        <v>39</v>
      </c>
      <c r="C99" s="4">
        <v>1.51</v>
      </c>
      <c r="D99" s="4">
        <v>0.1</v>
      </c>
      <c r="E99" s="4">
        <v>6.33</v>
      </c>
      <c r="F99" s="4">
        <v>1.58</v>
      </c>
      <c r="G99" s="4">
        <v>2.8</v>
      </c>
      <c r="H99" s="5">
        <v>2360269</v>
      </c>
      <c r="I99" s="5">
        <v>3449285</v>
      </c>
      <c r="J99" s="4">
        <v>34.43</v>
      </c>
      <c r="K99" s="6">
        <f>Table1[[#This Row],[Internet users]]/Table1[[#This Row],[Population]]</f>
        <v>0.68427775611467301</v>
      </c>
    </row>
    <row r="100" spans="1:11" x14ac:dyDescent="0.3">
      <c r="A100" s="4" t="s">
        <v>229</v>
      </c>
      <c r="B100" s="4" t="s">
        <v>124</v>
      </c>
      <c r="C100" s="4">
        <v>1.94</v>
      </c>
      <c r="D100" s="4">
        <v>1.29</v>
      </c>
      <c r="E100" s="4">
        <v>5.14</v>
      </c>
      <c r="F100" s="4">
        <v>2.17</v>
      </c>
      <c r="G100" s="4">
        <v>4.84</v>
      </c>
      <c r="H100" s="5">
        <v>11750000</v>
      </c>
      <c r="I100" s="5">
        <v>17247849</v>
      </c>
      <c r="J100" s="4">
        <v>17.3</v>
      </c>
      <c r="K100" s="6">
        <f>Table1[[#This Row],[Internet users]]/Table1[[#This Row],[Population]]</f>
        <v>0.68124436850067505</v>
      </c>
    </row>
    <row r="101" spans="1:11" x14ac:dyDescent="0.3">
      <c r="A101" s="4" t="s">
        <v>267</v>
      </c>
      <c r="B101" s="4" t="s">
        <v>31</v>
      </c>
      <c r="C101" s="4">
        <v>2.35</v>
      </c>
      <c r="D101" s="4">
        <v>0.26</v>
      </c>
      <c r="E101" s="4">
        <v>12.92</v>
      </c>
      <c r="F101" s="4">
        <v>2.48</v>
      </c>
      <c r="G101" s="4">
        <v>4</v>
      </c>
      <c r="H101" s="5">
        <v>2811056</v>
      </c>
      <c r="I101" s="5">
        <v>4156405</v>
      </c>
      <c r="J101" s="4">
        <v>86.48</v>
      </c>
      <c r="K101" s="6">
        <f>Table1[[#This Row],[Internet users]]/Table1[[#This Row],[Population]]</f>
        <v>0.67631907862684215</v>
      </c>
    </row>
    <row r="102" spans="1:11" x14ac:dyDescent="0.3">
      <c r="A102" s="4" t="s">
        <v>191</v>
      </c>
      <c r="B102" s="4" t="s">
        <v>105</v>
      </c>
      <c r="C102" s="4">
        <v>1.51</v>
      </c>
      <c r="D102" s="4">
        <v>0.33</v>
      </c>
      <c r="E102" s="4">
        <v>18.170000000000002</v>
      </c>
      <c r="F102" s="4">
        <v>0.74</v>
      </c>
      <c r="G102" s="4">
        <v>1.28</v>
      </c>
      <c r="H102" s="5">
        <v>6997472</v>
      </c>
      <c r="I102" s="5">
        <v>10627141</v>
      </c>
      <c r="J102" s="4">
        <v>20.7</v>
      </c>
      <c r="K102" s="6">
        <f>Table1[[#This Row],[Internet users]]/Table1[[#This Row],[Population]]</f>
        <v>0.658452917863798</v>
      </c>
    </row>
    <row r="103" spans="1:11" x14ac:dyDescent="0.3">
      <c r="A103" s="4" t="s">
        <v>277</v>
      </c>
      <c r="B103" s="4" t="s">
        <v>105</v>
      </c>
      <c r="C103" s="4">
        <v>2.41</v>
      </c>
      <c r="D103" s="4">
        <v>1.48</v>
      </c>
      <c r="E103" s="4">
        <v>3.33</v>
      </c>
      <c r="F103" s="4">
        <v>3.33</v>
      </c>
      <c r="G103" s="4">
        <v>3.58</v>
      </c>
      <c r="H103" s="5">
        <v>72048</v>
      </c>
      <c r="I103" s="5">
        <v>110211</v>
      </c>
      <c r="J103" s="4"/>
      <c r="K103" s="6">
        <f>Table1[[#This Row],[Internet users]]/Table1[[#This Row],[Population]]</f>
        <v>0.65372784930723793</v>
      </c>
    </row>
    <row r="104" spans="1:11" x14ac:dyDescent="0.3">
      <c r="A104" s="4" t="s">
        <v>177</v>
      </c>
      <c r="B104" s="4" t="s">
        <v>14</v>
      </c>
      <c r="C104" s="4">
        <v>1.41</v>
      </c>
      <c r="D104" s="4">
        <v>0.24</v>
      </c>
      <c r="E104" s="4">
        <v>7.05</v>
      </c>
      <c r="F104" s="4">
        <v>1.03</v>
      </c>
      <c r="G104" s="4">
        <v>1.79</v>
      </c>
      <c r="H104" s="5">
        <v>6480202</v>
      </c>
      <c r="I104" s="5">
        <v>9965318</v>
      </c>
      <c r="J104" s="4">
        <v>19.47</v>
      </c>
      <c r="K104" s="6">
        <f>Table1[[#This Row],[Internet users]]/Table1[[#This Row],[Population]]</f>
        <v>0.65027548543859814</v>
      </c>
    </row>
    <row r="105" spans="1:11" x14ac:dyDescent="0.3">
      <c r="A105" s="4" t="s">
        <v>237</v>
      </c>
      <c r="B105" s="4" t="s">
        <v>105</v>
      </c>
      <c r="C105" s="4">
        <v>2</v>
      </c>
      <c r="D105" s="4">
        <v>0.5</v>
      </c>
      <c r="E105" s="4">
        <v>8.33</v>
      </c>
      <c r="F105" s="4">
        <v>4.67</v>
      </c>
      <c r="G105" s="4">
        <v>4.97</v>
      </c>
      <c r="H105" s="5">
        <v>67535</v>
      </c>
      <c r="I105" s="5">
        <v>104680</v>
      </c>
      <c r="J105" s="4"/>
      <c r="K105" s="6">
        <f>Table1[[#This Row],[Internet users]]/Table1[[#This Row],[Population]]</f>
        <v>0.64515666794038973</v>
      </c>
    </row>
    <row r="106" spans="1:11" x14ac:dyDescent="0.3">
      <c r="A106" s="4" t="s">
        <v>154</v>
      </c>
      <c r="B106" s="4" t="s">
        <v>31</v>
      </c>
      <c r="C106" s="4">
        <v>1.18</v>
      </c>
      <c r="D106" s="4">
        <v>0.11</v>
      </c>
      <c r="E106" s="4">
        <v>11.83</v>
      </c>
      <c r="F106" s="4">
        <v>1.03</v>
      </c>
      <c r="G106" s="4">
        <v>1.89</v>
      </c>
      <c r="H106" s="5">
        <v>12545558</v>
      </c>
      <c r="I106" s="5">
        <v>19506114</v>
      </c>
      <c r="J106" s="4">
        <v>36.9</v>
      </c>
      <c r="K106" s="6">
        <f>Table1[[#This Row],[Internet users]]/Table1[[#This Row],[Population]]</f>
        <v>0.64316029322908708</v>
      </c>
    </row>
    <row r="107" spans="1:11" x14ac:dyDescent="0.3">
      <c r="A107" s="4" t="s">
        <v>428</v>
      </c>
      <c r="B107" s="4" t="s">
        <v>20</v>
      </c>
      <c r="C107" s="4">
        <v>7.37</v>
      </c>
      <c r="D107" s="4">
        <v>4.4800000000000004</v>
      </c>
      <c r="E107" s="4">
        <v>28.69</v>
      </c>
      <c r="F107" s="4">
        <v>4.5</v>
      </c>
      <c r="G107" s="4">
        <v>9.1999999999999993</v>
      </c>
      <c r="H107" s="5">
        <v>1034</v>
      </c>
      <c r="I107" s="5">
        <v>1620</v>
      </c>
      <c r="J107" s="4"/>
      <c r="K107" s="6">
        <f>Table1[[#This Row],[Internet users]]/Table1[[#This Row],[Population]]</f>
        <v>0.63827160493827162</v>
      </c>
    </row>
    <row r="108" spans="1:11" x14ac:dyDescent="0.3">
      <c r="A108" s="4" t="s">
        <v>263</v>
      </c>
      <c r="B108" s="4" t="s">
        <v>31</v>
      </c>
      <c r="C108" s="4">
        <v>2.2599999999999998</v>
      </c>
      <c r="D108" s="4">
        <v>0.63</v>
      </c>
      <c r="E108" s="4">
        <v>84.5</v>
      </c>
      <c r="F108" s="4">
        <v>2.2200000000000002</v>
      </c>
      <c r="G108" s="4">
        <v>11.51</v>
      </c>
      <c r="H108" s="5">
        <v>4492326</v>
      </c>
      <c r="I108" s="5">
        <v>7051608</v>
      </c>
      <c r="J108" s="4">
        <v>87.51</v>
      </c>
      <c r="K108" s="6">
        <f>Table1[[#This Row],[Internet users]]/Table1[[#This Row],[Population]]</f>
        <v>0.63706405687894163</v>
      </c>
    </row>
    <row r="109" spans="1:11" x14ac:dyDescent="0.3">
      <c r="A109" s="4" t="s">
        <v>51</v>
      </c>
      <c r="B109" s="4" t="s">
        <v>52</v>
      </c>
      <c r="C109" s="4">
        <v>0.51</v>
      </c>
      <c r="D109" s="4">
        <v>0.16</v>
      </c>
      <c r="E109" s="4">
        <v>2.2400000000000002</v>
      </c>
      <c r="F109" s="4">
        <v>0.65</v>
      </c>
      <c r="G109" s="4">
        <v>5.15</v>
      </c>
      <c r="H109" s="5">
        <v>26350000</v>
      </c>
      <c r="I109" s="5">
        <v>42228408</v>
      </c>
      <c r="J109" s="4">
        <v>12.44</v>
      </c>
      <c r="K109" s="6">
        <f>Table1[[#This Row],[Internet users]]/Table1[[#This Row],[Population]]</f>
        <v>0.62398752991114415</v>
      </c>
    </row>
    <row r="110" spans="1:11" x14ac:dyDescent="0.3">
      <c r="A110" s="4" t="s">
        <v>209</v>
      </c>
      <c r="B110" s="4" t="s">
        <v>14</v>
      </c>
      <c r="C110" s="4">
        <v>1.71</v>
      </c>
      <c r="D110" s="4">
        <v>0.46</v>
      </c>
      <c r="E110" s="4">
        <v>3.64</v>
      </c>
      <c r="F110" s="4">
        <v>3.26</v>
      </c>
      <c r="G110" s="4">
        <v>6.56</v>
      </c>
      <c r="H110" s="5">
        <v>3208312</v>
      </c>
      <c r="I110" s="8">
        <v>5159076</v>
      </c>
      <c r="J110" s="4">
        <v>4.8899999999999997</v>
      </c>
      <c r="K110" s="6">
        <f>Table1[[#This Row],[Internet users]]/Table1[[#This Row],[Population]]</f>
        <v>0.62187725088756207</v>
      </c>
    </row>
    <row r="111" spans="1:11" x14ac:dyDescent="0.3">
      <c r="A111" s="4" t="s">
        <v>76</v>
      </c>
      <c r="B111" s="4" t="s">
        <v>34</v>
      </c>
      <c r="C111" s="4">
        <v>0.68</v>
      </c>
      <c r="D111" s="4">
        <v>0.05</v>
      </c>
      <c r="E111" s="4">
        <v>2.73</v>
      </c>
      <c r="F111" s="4">
        <v>0.09</v>
      </c>
      <c r="G111" s="4">
        <v>0.26</v>
      </c>
      <c r="H111" s="5">
        <v>833710000</v>
      </c>
      <c r="I111" s="9">
        <v>1352642280</v>
      </c>
      <c r="J111" s="4">
        <v>13.67</v>
      </c>
      <c r="K111" s="6">
        <f>Table1[[#This Row],[Internet users]]/Table1[[#This Row],[Population]]</f>
        <v>0.61635660242706591</v>
      </c>
    </row>
    <row r="112" spans="1:11" x14ac:dyDescent="0.3">
      <c r="A112" s="4" t="s">
        <v>307</v>
      </c>
      <c r="B112" s="4" t="s">
        <v>39</v>
      </c>
      <c r="C112" s="4">
        <v>2.8</v>
      </c>
      <c r="D112" s="4">
        <v>0.42</v>
      </c>
      <c r="E112" s="4">
        <v>9.8800000000000008</v>
      </c>
      <c r="F112" s="4">
        <v>3.46</v>
      </c>
      <c r="G112" s="4">
        <v>3.22</v>
      </c>
      <c r="H112" s="5">
        <v>30548252</v>
      </c>
      <c r="I112" s="5">
        <v>49661048</v>
      </c>
      <c r="J112" s="4">
        <v>12.35</v>
      </c>
      <c r="K112" s="6">
        <f>Table1[[#This Row],[Internet users]]/Table1[[#This Row],[Population]]</f>
        <v>0.61513506521247796</v>
      </c>
    </row>
    <row r="113" spans="1:11" x14ac:dyDescent="0.3">
      <c r="A113" s="4" t="s">
        <v>111</v>
      </c>
      <c r="B113" s="4" t="s">
        <v>52</v>
      </c>
      <c r="C113" s="4">
        <v>0.88</v>
      </c>
      <c r="D113" s="4">
        <v>0.44</v>
      </c>
      <c r="E113" s="4">
        <v>5.5</v>
      </c>
      <c r="F113" s="4">
        <v>0.99</v>
      </c>
      <c r="G113" s="4">
        <v>1.66</v>
      </c>
      <c r="H113" s="5">
        <v>22072765</v>
      </c>
      <c r="I113" s="5">
        <v>36029093</v>
      </c>
      <c r="J113" s="4">
        <v>27.84</v>
      </c>
      <c r="K113" s="6">
        <f>Table1[[#This Row],[Internet users]]/Table1[[#This Row],[Population]]</f>
        <v>0.61263726511239125</v>
      </c>
    </row>
    <row r="114" spans="1:11" x14ac:dyDescent="0.3">
      <c r="A114" s="4" t="s">
        <v>438</v>
      </c>
      <c r="B114" s="4" t="s">
        <v>20</v>
      </c>
      <c r="C114" s="4">
        <v>7.62</v>
      </c>
      <c r="D114" s="4">
        <v>7.62</v>
      </c>
      <c r="E114" s="4">
        <v>7.62</v>
      </c>
      <c r="F114" s="4">
        <v>30.47</v>
      </c>
      <c r="G114" s="4">
        <v>28.13</v>
      </c>
      <c r="H114" s="5">
        <v>6475</v>
      </c>
      <c r="I114" s="5">
        <v>10670</v>
      </c>
      <c r="J114" s="4"/>
      <c r="K114" s="6">
        <f>Table1[[#This Row],[Internet users]]/Table1[[#This Row],[Population]]</f>
        <v>0.6068416119962512</v>
      </c>
    </row>
    <row r="115" spans="1:11" x14ac:dyDescent="0.3">
      <c r="A115" s="4" t="s">
        <v>281</v>
      </c>
      <c r="B115" s="4" t="s">
        <v>39</v>
      </c>
      <c r="C115" s="4">
        <v>2.5299999999999998</v>
      </c>
      <c r="D115" s="4">
        <v>0.73</v>
      </c>
      <c r="E115" s="4">
        <v>9.1199999999999992</v>
      </c>
      <c r="F115" s="4">
        <v>2.2999999999999998</v>
      </c>
      <c r="G115" s="4">
        <v>11.56</v>
      </c>
      <c r="H115" s="5">
        <v>4160340</v>
      </c>
      <c r="I115" s="5">
        <v>6956066</v>
      </c>
      <c r="J115" s="4">
        <v>15.15</v>
      </c>
      <c r="K115" s="6">
        <f>Table1[[#This Row],[Internet users]]/Table1[[#This Row],[Population]]</f>
        <v>0.59808805724385017</v>
      </c>
    </row>
    <row r="116" spans="1:11" x14ac:dyDescent="0.3">
      <c r="A116" s="4" t="s">
        <v>47</v>
      </c>
      <c r="B116" s="4" t="s">
        <v>23</v>
      </c>
      <c r="C116" s="4">
        <v>0.43</v>
      </c>
      <c r="D116" s="4">
        <v>0.24</v>
      </c>
      <c r="E116" s="4">
        <v>0.63</v>
      </c>
      <c r="F116" s="4">
        <v>1.1599999999999999</v>
      </c>
      <c r="G116" s="4">
        <v>6.86</v>
      </c>
      <c r="H116" s="5">
        <v>20100</v>
      </c>
      <c r="I116" s="5">
        <v>33785</v>
      </c>
      <c r="J116" s="4"/>
      <c r="K116" s="6">
        <f>Table1[[#This Row],[Internet users]]/Table1[[#This Row],[Population]]</f>
        <v>0.59493858221104046</v>
      </c>
    </row>
    <row r="117" spans="1:11" x14ac:dyDescent="0.3">
      <c r="A117" s="4" t="s">
        <v>68</v>
      </c>
      <c r="B117" s="4" t="s">
        <v>34</v>
      </c>
      <c r="C117" s="4">
        <v>0.61</v>
      </c>
      <c r="D117" s="4">
        <v>0.22</v>
      </c>
      <c r="E117" s="4">
        <v>2.66</v>
      </c>
      <c r="F117" s="4">
        <v>0.86</v>
      </c>
      <c r="G117" s="4">
        <v>2.25</v>
      </c>
      <c r="H117" s="5">
        <v>16190000</v>
      </c>
      <c r="I117" s="5">
        <v>28095714</v>
      </c>
      <c r="J117" s="4">
        <v>16.45</v>
      </c>
      <c r="K117" s="6">
        <f>Table1[[#This Row],[Internet users]]/Table1[[#This Row],[Population]]</f>
        <v>0.57624447629271858</v>
      </c>
    </row>
    <row r="118" spans="1:11" x14ac:dyDescent="0.3">
      <c r="A118" s="4" t="s">
        <v>387</v>
      </c>
      <c r="B118" s="4" t="s">
        <v>26</v>
      </c>
      <c r="C118" s="4">
        <v>4.78</v>
      </c>
      <c r="D118" s="4">
        <v>1.07</v>
      </c>
      <c r="E118" s="4">
        <v>48.35</v>
      </c>
      <c r="F118" s="4">
        <v>4.8099999999999996</v>
      </c>
      <c r="G118" s="4">
        <v>4.25</v>
      </c>
      <c r="H118" s="5">
        <v>312315</v>
      </c>
      <c r="I118" s="5">
        <v>543767</v>
      </c>
      <c r="J118" s="4"/>
      <c r="K118" s="6">
        <f>Table1[[#This Row],[Internet users]]/Table1[[#This Row],[Population]]</f>
        <v>0.57435445696410414</v>
      </c>
    </row>
    <row r="119" spans="1:11" x14ac:dyDescent="0.3">
      <c r="A119" s="4" t="s">
        <v>450</v>
      </c>
      <c r="B119" s="4" t="s">
        <v>26</v>
      </c>
      <c r="C119" s="4">
        <v>8.64</v>
      </c>
      <c r="D119" s="4">
        <v>2.36</v>
      </c>
      <c r="E119" s="4">
        <v>22.67</v>
      </c>
      <c r="F119" s="4">
        <v>11.43</v>
      </c>
      <c r="G119" s="4">
        <v>19.55</v>
      </c>
      <c r="H119" s="5">
        <v>55677</v>
      </c>
      <c r="I119" s="5">
        <v>97096</v>
      </c>
      <c r="J119" s="4"/>
      <c r="K119" s="6">
        <f>Table1[[#This Row],[Internet users]]/Table1[[#This Row],[Population]]</f>
        <v>0.57342218011040624</v>
      </c>
    </row>
    <row r="120" spans="1:11" x14ac:dyDescent="0.3">
      <c r="A120" s="4" t="s">
        <v>279</v>
      </c>
      <c r="B120" s="4" t="s">
        <v>105</v>
      </c>
      <c r="C120" s="4">
        <v>2.44</v>
      </c>
      <c r="D120" s="4">
        <v>1.84</v>
      </c>
      <c r="E120" s="4">
        <v>4.4400000000000004</v>
      </c>
      <c r="F120" s="4">
        <v>5.37</v>
      </c>
      <c r="G120" s="4">
        <v>12</v>
      </c>
      <c r="H120" s="5">
        <v>63692</v>
      </c>
      <c r="I120" s="5">
        <v>111454</v>
      </c>
      <c r="J120" s="4"/>
      <c r="K120" s="6">
        <f>Table1[[#This Row],[Internet users]]/Table1[[#This Row],[Population]]</f>
        <v>0.57146446067435896</v>
      </c>
    </row>
    <row r="121" spans="1:11" x14ac:dyDescent="0.3">
      <c r="A121" s="4" t="s">
        <v>377</v>
      </c>
      <c r="B121" s="4" t="s">
        <v>124</v>
      </c>
      <c r="C121" s="4">
        <v>4.49</v>
      </c>
      <c r="D121" s="4">
        <v>2</v>
      </c>
      <c r="E121" s="4">
        <v>7.48</v>
      </c>
      <c r="F121" s="4">
        <v>6.69</v>
      </c>
      <c r="G121" s="4">
        <v>4.6900000000000004</v>
      </c>
      <c r="H121" s="5">
        <v>2371852</v>
      </c>
      <c r="I121" s="5">
        <v>4176869</v>
      </c>
      <c r="J121" s="4">
        <v>17.03</v>
      </c>
      <c r="K121" s="6">
        <f>Table1[[#This Row],[Internet users]]/Table1[[#This Row],[Population]]</f>
        <v>0.56785405527441724</v>
      </c>
    </row>
    <row r="122" spans="1:11" x14ac:dyDescent="0.3">
      <c r="A122" s="4" t="s">
        <v>365</v>
      </c>
      <c r="B122" s="4" t="s">
        <v>105</v>
      </c>
      <c r="C122" s="4">
        <v>4.01</v>
      </c>
      <c r="D122" s="4">
        <v>1.1100000000000001</v>
      </c>
      <c r="E122" s="4">
        <v>29.23</v>
      </c>
      <c r="F122" s="4">
        <v>8.33</v>
      </c>
      <c r="G122" s="4">
        <v>4.92</v>
      </c>
      <c r="H122" s="5">
        <v>2833</v>
      </c>
      <c r="I122" s="5">
        <v>4993</v>
      </c>
      <c r="J122" s="4"/>
      <c r="K122" s="6">
        <f>Table1[[#This Row],[Internet users]]/Table1[[#This Row],[Population]]</f>
        <v>0.5673943520929301</v>
      </c>
    </row>
    <row r="123" spans="1:11" x14ac:dyDescent="0.3">
      <c r="A123" s="4" t="s">
        <v>134</v>
      </c>
      <c r="B123" s="4" t="s">
        <v>39</v>
      </c>
      <c r="C123" s="4">
        <v>1.06</v>
      </c>
      <c r="D123" s="4">
        <v>0.63</v>
      </c>
      <c r="E123" s="4">
        <v>3</v>
      </c>
      <c r="F123" s="4">
        <v>3.24</v>
      </c>
      <c r="G123" s="4">
        <v>6.93</v>
      </c>
      <c r="H123" s="5">
        <v>9521056</v>
      </c>
      <c r="I123" s="5">
        <v>17084358</v>
      </c>
      <c r="J123" s="4">
        <v>17.7</v>
      </c>
      <c r="K123" s="6">
        <f>Table1[[#This Row],[Internet users]]/Table1[[#This Row],[Population]]</f>
        <v>0.55729668039033131</v>
      </c>
    </row>
    <row r="124" spans="1:11" x14ac:dyDescent="0.3">
      <c r="A124" s="4" t="s">
        <v>132</v>
      </c>
      <c r="B124" s="4" t="s">
        <v>52</v>
      </c>
      <c r="C124" s="4">
        <v>1.04</v>
      </c>
      <c r="D124" s="4">
        <v>0.02</v>
      </c>
      <c r="E124" s="4">
        <v>2.38</v>
      </c>
      <c r="F124" s="4">
        <v>1.0900000000000001</v>
      </c>
      <c r="G124" s="4">
        <v>1.49</v>
      </c>
      <c r="H124" s="5">
        <v>54740141</v>
      </c>
      <c r="I124" s="5">
        <v>98423598</v>
      </c>
      <c r="J124" s="4">
        <v>19.73</v>
      </c>
      <c r="K124" s="6">
        <f>Table1[[#This Row],[Internet users]]/Table1[[#This Row],[Population]]</f>
        <v>0.55616886714505198</v>
      </c>
    </row>
    <row r="125" spans="1:11" x14ac:dyDescent="0.3">
      <c r="A125" s="4" t="s">
        <v>58</v>
      </c>
      <c r="B125" s="4" t="s">
        <v>34</v>
      </c>
      <c r="C125" s="4">
        <v>0.59</v>
      </c>
      <c r="D125" s="4">
        <v>0.06</v>
      </c>
      <c r="E125" s="4">
        <v>8.59</v>
      </c>
      <c r="F125" s="4">
        <v>0.69</v>
      </c>
      <c r="G125" s="4">
        <v>1.85</v>
      </c>
      <c r="H125" s="5">
        <v>118800000</v>
      </c>
      <c r="I125" s="5">
        <v>213756286</v>
      </c>
      <c r="J125" s="4">
        <v>16.73</v>
      </c>
      <c r="K125" s="6">
        <f>Table1[[#This Row],[Internet users]]/Table1[[#This Row],[Population]]</f>
        <v>0.55577312940401669</v>
      </c>
    </row>
    <row r="126" spans="1:11" x14ac:dyDescent="0.3">
      <c r="A126" s="4" t="s">
        <v>144</v>
      </c>
      <c r="B126" s="4" t="s">
        <v>26</v>
      </c>
      <c r="C126" s="4">
        <v>1.1200000000000001</v>
      </c>
      <c r="D126" s="4">
        <v>0.47</v>
      </c>
      <c r="E126" s="4">
        <v>28.01</v>
      </c>
      <c r="F126" s="4">
        <v>1.1200000000000001</v>
      </c>
      <c r="G126" s="4">
        <v>37.92</v>
      </c>
      <c r="H126" s="5">
        <v>532849</v>
      </c>
      <c r="I126" s="5">
        <v>958923</v>
      </c>
      <c r="J126" s="4"/>
      <c r="K126" s="6">
        <f>Table1[[#This Row],[Internet users]]/Table1[[#This Row],[Population]]</f>
        <v>0.55567443892783885</v>
      </c>
    </row>
    <row r="127" spans="1:11" x14ac:dyDescent="0.3">
      <c r="A127" s="4" t="s">
        <v>86</v>
      </c>
      <c r="B127" s="4" t="s">
        <v>26</v>
      </c>
      <c r="C127" s="4">
        <v>0.75</v>
      </c>
      <c r="D127" s="4">
        <v>0.04</v>
      </c>
      <c r="E127" s="4">
        <v>6.49</v>
      </c>
      <c r="F127" s="4">
        <v>2.48</v>
      </c>
      <c r="G127" s="4">
        <v>0.51</v>
      </c>
      <c r="H127" s="5">
        <v>702911</v>
      </c>
      <c r="I127" s="5">
        <v>1267185</v>
      </c>
      <c r="J127" s="4">
        <v>18.09</v>
      </c>
      <c r="K127" s="6">
        <f>Table1[[#This Row],[Internet users]]/Table1[[#This Row],[Population]]</f>
        <v>0.55470274663920427</v>
      </c>
    </row>
    <row r="128" spans="1:11" x14ac:dyDescent="0.3">
      <c r="A128" s="4" t="s">
        <v>140</v>
      </c>
      <c r="B128" s="4" t="s">
        <v>52</v>
      </c>
      <c r="C128" s="4">
        <v>1.0900000000000001</v>
      </c>
      <c r="D128" s="4">
        <v>0.33</v>
      </c>
      <c r="E128" s="4">
        <v>3.63</v>
      </c>
      <c r="F128" s="4">
        <v>1.37</v>
      </c>
      <c r="G128" s="4">
        <v>3.67</v>
      </c>
      <c r="H128" s="5">
        <v>6400330</v>
      </c>
      <c r="I128" s="5">
        <v>11565201</v>
      </c>
      <c r="J128" s="4">
        <v>22.64</v>
      </c>
      <c r="K128" s="6">
        <f>Table1[[#This Row],[Internet users]]/Table1[[#This Row],[Population]]</f>
        <v>0.55341277682938672</v>
      </c>
    </row>
    <row r="129" spans="1:11" x14ac:dyDescent="0.3">
      <c r="A129" s="4" t="s">
        <v>295</v>
      </c>
      <c r="B129" s="4" t="s">
        <v>26</v>
      </c>
      <c r="C129" s="4">
        <v>2.67</v>
      </c>
      <c r="D129" s="4">
        <v>0.12</v>
      </c>
      <c r="E129" s="4">
        <v>34.950000000000003</v>
      </c>
      <c r="F129" s="4">
        <v>4.3</v>
      </c>
      <c r="G129" s="4">
        <v>7.77</v>
      </c>
      <c r="H129" s="5">
        <v>31858027</v>
      </c>
      <c r="I129" s="5">
        <v>57792518</v>
      </c>
      <c r="J129" s="4">
        <v>33.619999999999997</v>
      </c>
      <c r="K129" s="6">
        <f>Table1[[#This Row],[Internet users]]/Table1[[#This Row],[Population]]</f>
        <v>0.55124829480522031</v>
      </c>
    </row>
    <row r="130" spans="1:11" x14ac:dyDescent="0.3">
      <c r="A130" s="4" t="s">
        <v>325</v>
      </c>
      <c r="B130" s="4" t="s">
        <v>34</v>
      </c>
      <c r="C130" s="4">
        <v>3.24</v>
      </c>
      <c r="D130" s="4">
        <v>1.85</v>
      </c>
      <c r="E130" s="4">
        <v>12.95</v>
      </c>
      <c r="F130" s="4">
        <v>3.88</v>
      </c>
      <c r="G130" s="4">
        <v>5.79</v>
      </c>
      <c r="H130" s="5">
        <v>275717</v>
      </c>
      <c r="I130" s="5">
        <v>515696</v>
      </c>
      <c r="J130" s="4">
        <v>47.93</v>
      </c>
      <c r="K130" s="6">
        <f>Table1[[#This Row],[Internet users]]/Table1[[#This Row],[Population]]</f>
        <v>0.53465025906735753</v>
      </c>
    </row>
    <row r="131" spans="1:11" x14ac:dyDescent="0.3">
      <c r="A131" s="4" t="s">
        <v>84</v>
      </c>
      <c r="B131" s="4" t="s">
        <v>26</v>
      </c>
      <c r="C131" s="4">
        <v>0.75</v>
      </c>
      <c r="D131" s="4">
        <v>0.28000000000000003</v>
      </c>
      <c r="E131" s="4">
        <v>4.3099999999999996</v>
      </c>
      <c r="F131" s="4">
        <v>0.73</v>
      </c>
      <c r="G131" s="4">
        <v>3.71</v>
      </c>
      <c r="H131" s="5">
        <v>30000000</v>
      </c>
      <c r="I131" s="5">
        <v>56313438</v>
      </c>
      <c r="J131" s="4">
        <v>10.39</v>
      </c>
      <c r="K131" s="6">
        <f>Table1[[#This Row],[Internet users]]/Table1[[#This Row],[Population]]</f>
        <v>0.53273252469508259</v>
      </c>
    </row>
    <row r="132" spans="1:11" x14ac:dyDescent="0.3">
      <c r="A132" s="4" t="s">
        <v>102</v>
      </c>
      <c r="B132" s="4" t="s">
        <v>34</v>
      </c>
      <c r="C132" s="4">
        <v>0.83</v>
      </c>
      <c r="D132" s="4">
        <v>0.33</v>
      </c>
      <c r="E132" s="4">
        <v>1.06</v>
      </c>
      <c r="F132" s="4">
        <v>1.1599999999999999</v>
      </c>
      <c r="G132" s="4">
        <v>1.49</v>
      </c>
      <c r="H132" s="5">
        <v>388541</v>
      </c>
      <c r="I132" s="5">
        <v>754388</v>
      </c>
      <c r="J132" s="4"/>
      <c r="K132" s="6">
        <f>Table1[[#This Row],[Internet users]]/Table1[[#This Row],[Population]]</f>
        <v>0.51504133151640796</v>
      </c>
    </row>
    <row r="133" spans="1:11" x14ac:dyDescent="0.3">
      <c r="A133" s="4" t="s">
        <v>62</v>
      </c>
      <c r="B133" s="4" t="s">
        <v>17</v>
      </c>
      <c r="C133" s="4">
        <v>0.6</v>
      </c>
      <c r="D133" s="4">
        <v>0.01</v>
      </c>
      <c r="E133" s="4">
        <v>23.75</v>
      </c>
      <c r="F133" s="4">
        <v>1.34</v>
      </c>
      <c r="G133" s="4">
        <v>3.27</v>
      </c>
      <c r="H133" s="5">
        <v>16692456</v>
      </c>
      <c r="I133" s="5">
        <v>32476244</v>
      </c>
      <c r="J133" s="4">
        <v>13.27</v>
      </c>
      <c r="K133" s="6">
        <f>Table1[[#This Row],[Internet users]]/Table1[[#This Row],[Population]]</f>
        <v>0.51398973354184674</v>
      </c>
    </row>
    <row r="134" spans="1:11" x14ac:dyDescent="0.3">
      <c r="A134" s="4" t="s">
        <v>19</v>
      </c>
      <c r="B134" s="4" t="s">
        <v>20</v>
      </c>
      <c r="C134" s="4">
        <v>0.19</v>
      </c>
      <c r="D134" s="4">
        <v>0.05</v>
      </c>
      <c r="E134" s="4">
        <v>0.85</v>
      </c>
      <c r="F134" s="4">
        <v>0.59</v>
      </c>
      <c r="G134" s="4">
        <v>3.57</v>
      </c>
      <c r="H134" s="5">
        <v>452479</v>
      </c>
      <c r="I134" s="5">
        <v>883483</v>
      </c>
      <c r="J134" s="4">
        <v>25.99</v>
      </c>
      <c r="K134" s="6">
        <f>Table1[[#This Row],[Internet users]]/Table1[[#This Row],[Population]]</f>
        <v>0.51215360114456077</v>
      </c>
    </row>
    <row r="135" spans="1:11" x14ac:dyDescent="0.3">
      <c r="A135" s="4" t="s">
        <v>74</v>
      </c>
      <c r="B135" s="4" t="s">
        <v>26</v>
      </c>
      <c r="C135" s="4">
        <v>0.66</v>
      </c>
      <c r="D135" s="4">
        <v>0.17</v>
      </c>
      <c r="E135" s="4">
        <v>3.47</v>
      </c>
      <c r="F135" s="4">
        <v>0.94</v>
      </c>
      <c r="G135" s="4">
        <v>1.56</v>
      </c>
      <c r="H135" s="5">
        <v>15065541</v>
      </c>
      <c r="I135" s="5">
        <v>29767102</v>
      </c>
      <c r="J135" s="4">
        <v>8.44</v>
      </c>
      <c r="K135" s="6">
        <f>Table1[[#This Row],[Internet users]]/Table1[[#This Row],[Population]]</f>
        <v>0.50611379636485943</v>
      </c>
    </row>
    <row r="136" spans="1:11" x14ac:dyDescent="0.3">
      <c r="A136" s="4" t="s">
        <v>289</v>
      </c>
      <c r="B136" s="4" t="s">
        <v>105</v>
      </c>
      <c r="C136" s="4">
        <v>2.62</v>
      </c>
      <c r="D136" s="4">
        <v>1.46</v>
      </c>
      <c r="E136" s="4">
        <v>4.4400000000000004</v>
      </c>
      <c r="F136" s="4">
        <v>3.27</v>
      </c>
      <c r="G136" s="4">
        <v>4.84</v>
      </c>
      <c r="H136" s="5">
        <v>90889</v>
      </c>
      <c r="I136" s="5">
        <v>181889</v>
      </c>
      <c r="J136" s="4"/>
      <c r="K136" s="6">
        <f>Table1[[#This Row],[Internet users]]/Table1[[#This Row],[Population]]</f>
        <v>0.4996948688485835</v>
      </c>
    </row>
    <row r="137" spans="1:11" x14ac:dyDescent="0.3">
      <c r="A137" s="4" t="s">
        <v>432</v>
      </c>
      <c r="B137" s="4" t="s">
        <v>105</v>
      </c>
      <c r="C137" s="4">
        <v>7.5</v>
      </c>
      <c r="D137" s="4">
        <v>3.2</v>
      </c>
      <c r="E137" s="4">
        <v>12.5</v>
      </c>
      <c r="F137" s="4">
        <v>13.33</v>
      </c>
      <c r="G137" s="4" t="s">
        <v>345</v>
      </c>
      <c r="H137" s="5">
        <v>5638956</v>
      </c>
      <c r="I137" s="5">
        <v>11338134</v>
      </c>
      <c r="J137" s="4">
        <v>9.1</v>
      </c>
      <c r="K137" s="6">
        <f>Table1[[#This Row],[Internet users]]/Table1[[#This Row],[Population]]</f>
        <v>0.49734427199396303</v>
      </c>
    </row>
    <row r="138" spans="1:11" x14ac:dyDescent="0.3">
      <c r="A138" s="4" t="s">
        <v>148</v>
      </c>
      <c r="B138" s="4" t="s">
        <v>14</v>
      </c>
      <c r="C138" s="4">
        <v>1.1399999999999999</v>
      </c>
      <c r="D138" s="4">
        <v>0.68</v>
      </c>
      <c r="E138" s="4">
        <v>27.35</v>
      </c>
      <c r="F138" s="4">
        <v>4.2</v>
      </c>
      <c r="G138" s="4">
        <v>8</v>
      </c>
      <c r="H138" s="5">
        <v>18892351</v>
      </c>
      <c r="I138" s="5">
        <v>38433600</v>
      </c>
      <c r="J138" s="4">
        <v>39.9</v>
      </c>
      <c r="K138" s="6">
        <f>Table1[[#This Row],[Internet users]]/Table1[[#This Row],[Population]]</f>
        <v>0.49155819387202865</v>
      </c>
    </row>
    <row r="139" spans="1:11" x14ac:dyDescent="0.3">
      <c r="A139" s="4" t="s">
        <v>391</v>
      </c>
      <c r="B139" s="4" t="s">
        <v>26</v>
      </c>
      <c r="C139" s="4">
        <v>4.82</v>
      </c>
      <c r="D139" s="4">
        <v>1.06</v>
      </c>
      <c r="E139" s="4">
        <v>18.059999999999999</v>
      </c>
      <c r="F139" s="4">
        <v>4.8899999999999997</v>
      </c>
      <c r="G139" s="4">
        <v>3.39</v>
      </c>
      <c r="H139" s="5">
        <v>1040000</v>
      </c>
      <c r="I139" s="5">
        <v>2119275</v>
      </c>
      <c r="J139" s="4"/>
      <c r="K139" s="6">
        <f>Table1[[#This Row],[Internet users]]/Table1[[#This Row],[Population]]</f>
        <v>0.49073385945665382</v>
      </c>
    </row>
    <row r="140" spans="1:11" x14ac:dyDescent="0.3">
      <c r="A140" s="4" t="s">
        <v>150</v>
      </c>
      <c r="B140" s="4" t="s">
        <v>39</v>
      </c>
      <c r="C140" s="4">
        <v>1.1499999999999999</v>
      </c>
      <c r="D140" s="4">
        <v>0.85</v>
      </c>
      <c r="E140" s="4">
        <v>15.58</v>
      </c>
      <c r="F140" s="4">
        <v>2.13</v>
      </c>
      <c r="G140" s="4">
        <v>2.48</v>
      </c>
      <c r="H140" s="5">
        <v>15674241</v>
      </c>
      <c r="I140" s="5">
        <v>31989260</v>
      </c>
      <c r="J140" s="4">
        <v>15.64</v>
      </c>
      <c r="K140" s="6">
        <f>Table1[[#This Row],[Internet users]]/Table1[[#This Row],[Population]]</f>
        <v>0.48998448229186919</v>
      </c>
    </row>
    <row r="141" spans="1:11" x14ac:dyDescent="0.3">
      <c r="A141" s="4" t="s">
        <v>480</v>
      </c>
      <c r="B141" s="4" t="s">
        <v>26</v>
      </c>
      <c r="C141" s="4">
        <v>39.869999999999997</v>
      </c>
      <c r="D141" s="4">
        <v>38.57</v>
      </c>
      <c r="E141" s="4">
        <v>51.42</v>
      </c>
      <c r="F141" s="4">
        <v>52.5</v>
      </c>
      <c r="G141" s="4">
        <v>6.04</v>
      </c>
      <c r="H141" s="5">
        <v>2906</v>
      </c>
      <c r="I141" s="5">
        <v>6035</v>
      </c>
      <c r="J141" s="4"/>
      <c r="K141" s="6">
        <f>Table1[[#This Row],[Internet users]]/Table1[[#This Row],[Population]]</f>
        <v>0.4815244407622204</v>
      </c>
    </row>
    <row r="142" spans="1:11" x14ac:dyDescent="0.3">
      <c r="A142" s="4" t="s">
        <v>297</v>
      </c>
      <c r="B142" s="4" t="s">
        <v>105</v>
      </c>
      <c r="C142" s="4">
        <v>2.74</v>
      </c>
      <c r="D142" s="4">
        <v>0.86</v>
      </c>
      <c r="E142" s="4">
        <v>9.6</v>
      </c>
      <c r="F142" s="4">
        <v>3.88</v>
      </c>
      <c r="G142" s="4">
        <v>2.4300000000000002</v>
      </c>
      <c r="H142" s="5">
        <v>1409888</v>
      </c>
      <c r="I142" s="5">
        <v>2934847</v>
      </c>
      <c r="J142" s="4">
        <v>30.84</v>
      </c>
      <c r="K142" s="6">
        <f>Table1[[#This Row],[Internet users]]/Table1[[#This Row],[Population]]</f>
        <v>0.48039574124306988</v>
      </c>
    </row>
    <row r="143" spans="1:11" x14ac:dyDescent="0.3">
      <c r="A143" s="4" t="s">
        <v>415</v>
      </c>
      <c r="B143" s="4" t="s">
        <v>20</v>
      </c>
      <c r="C143" s="4">
        <v>6.35</v>
      </c>
      <c r="D143" s="4">
        <v>5.72</v>
      </c>
      <c r="E143" s="4">
        <v>10.17</v>
      </c>
      <c r="F143" s="4" t="s">
        <v>345</v>
      </c>
      <c r="G143" s="4">
        <v>12.42</v>
      </c>
      <c r="H143" s="5">
        <v>5520</v>
      </c>
      <c r="I143" s="5">
        <v>11508</v>
      </c>
      <c r="J143" s="4"/>
      <c r="K143" s="6">
        <f>Table1[[#This Row],[Internet users]]/Table1[[#This Row],[Population]]</f>
        <v>0.4796663190823775</v>
      </c>
    </row>
    <row r="144" spans="1:11" x14ac:dyDescent="0.3">
      <c r="A144" s="4" t="s">
        <v>415</v>
      </c>
      <c r="B144" s="4" t="s">
        <v>20</v>
      </c>
      <c r="C144" s="4" t="s">
        <v>416</v>
      </c>
      <c r="D144" s="4"/>
      <c r="E144" s="4"/>
      <c r="F144" s="4"/>
      <c r="G144" s="4"/>
      <c r="H144" s="5">
        <v>5520</v>
      </c>
      <c r="I144" s="5">
        <v>11508</v>
      </c>
      <c r="J144" s="4"/>
      <c r="K144" s="6">
        <f>Table1[[#This Row],[Internet users]]/Table1[[#This Row],[Population]]</f>
        <v>0.4796663190823775</v>
      </c>
    </row>
    <row r="145" spans="1:11" x14ac:dyDescent="0.3">
      <c r="A145" s="4" t="s">
        <v>231</v>
      </c>
      <c r="B145" s="4" t="s">
        <v>39</v>
      </c>
      <c r="C145" s="4">
        <v>1.94</v>
      </c>
      <c r="D145" s="4">
        <v>1.72</v>
      </c>
      <c r="E145" s="4">
        <v>2.73</v>
      </c>
      <c r="F145" s="4">
        <v>4.92</v>
      </c>
      <c r="G145" s="4">
        <v>6.08</v>
      </c>
      <c r="H145" s="5">
        <v>275785</v>
      </c>
      <c r="I145" s="5">
        <v>575990</v>
      </c>
      <c r="J145" s="4">
        <v>40.700000000000003</v>
      </c>
      <c r="K145" s="6">
        <f>Table1[[#This Row],[Internet users]]/Table1[[#This Row],[Population]]</f>
        <v>0.47880171530755744</v>
      </c>
    </row>
    <row r="146" spans="1:11" x14ac:dyDescent="0.3">
      <c r="A146" s="4" t="s">
        <v>311</v>
      </c>
      <c r="B146" s="4" t="s">
        <v>124</v>
      </c>
      <c r="C146" s="4">
        <v>2.97</v>
      </c>
      <c r="D146" s="4">
        <v>1.48</v>
      </c>
      <c r="E146" s="4">
        <v>6.82</v>
      </c>
      <c r="F146" s="4">
        <v>3.25</v>
      </c>
      <c r="G146" s="4">
        <v>4.3899999999999997</v>
      </c>
      <c r="H146" s="5">
        <v>176400</v>
      </c>
      <c r="I146" s="5">
        <v>383071</v>
      </c>
      <c r="J146" s="4"/>
      <c r="K146" s="6">
        <f>Table1[[#This Row],[Internet users]]/Table1[[#This Row],[Population]]</f>
        <v>0.46048904772222382</v>
      </c>
    </row>
    <row r="147" spans="1:11" x14ac:dyDescent="0.3">
      <c r="A147" s="4" t="s">
        <v>162</v>
      </c>
      <c r="B147" s="4" t="s">
        <v>20</v>
      </c>
      <c r="C147" s="4">
        <v>1.28</v>
      </c>
      <c r="D147" s="4">
        <v>1.0900000000000001</v>
      </c>
      <c r="E147" s="4">
        <v>1.46</v>
      </c>
      <c r="F147" s="4">
        <v>3.41</v>
      </c>
      <c r="G147" s="4">
        <v>2.92</v>
      </c>
      <c r="H147" s="5">
        <v>44558</v>
      </c>
      <c r="I147" s="5">
        <v>103197</v>
      </c>
      <c r="J147" s="4"/>
      <c r="K147" s="6">
        <f>Table1[[#This Row],[Internet users]]/Table1[[#This Row],[Population]]</f>
        <v>0.43177611752279621</v>
      </c>
    </row>
    <row r="148" spans="1:11" x14ac:dyDescent="0.3">
      <c r="A148" s="4" t="s">
        <v>253</v>
      </c>
      <c r="B148" s="4" t="s">
        <v>39</v>
      </c>
      <c r="C148" s="4">
        <v>2.1800000000000002</v>
      </c>
      <c r="D148" s="4">
        <v>0.87</v>
      </c>
      <c r="E148" s="4">
        <v>14.44</v>
      </c>
      <c r="F148" s="4">
        <v>5.09</v>
      </c>
      <c r="G148" s="4">
        <v>5.99</v>
      </c>
      <c r="H148" s="5">
        <v>4843916</v>
      </c>
      <c r="I148" s="5">
        <v>11353142</v>
      </c>
      <c r="J148" s="4">
        <v>14.1</v>
      </c>
      <c r="K148" s="6">
        <f>Table1[[#This Row],[Internet users]]/Table1[[#This Row],[Population]]</f>
        <v>0.4266586289504703</v>
      </c>
    </row>
    <row r="149" spans="1:11" x14ac:dyDescent="0.3">
      <c r="A149" s="4" t="s">
        <v>283</v>
      </c>
      <c r="B149" s="4" t="s">
        <v>26</v>
      </c>
      <c r="C149" s="4">
        <v>2.58</v>
      </c>
      <c r="D149" s="4">
        <v>1.17</v>
      </c>
      <c r="E149" s="4">
        <v>18.059999999999999</v>
      </c>
      <c r="F149" s="4">
        <v>3.2</v>
      </c>
      <c r="G149" s="4">
        <v>6.18</v>
      </c>
      <c r="H149" s="5">
        <v>10650818</v>
      </c>
      <c r="I149" s="5">
        <v>25069230</v>
      </c>
      <c r="J149" s="4"/>
      <c r="K149" s="6">
        <f>Table1[[#This Row],[Internet users]]/Table1[[#This Row],[Population]]</f>
        <v>0.42485620818828501</v>
      </c>
    </row>
    <row r="150" spans="1:11" x14ac:dyDescent="0.3">
      <c r="A150" s="4" t="s">
        <v>359</v>
      </c>
      <c r="B150" s="4" t="s">
        <v>26</v>
      </c>
      <c r="C150" s="4">
        <v>3.92</v>
      </c>
      <c r="D150" s="4">
        <v>1.63</v>
      </c>
      <c r="E150" s="4">
        <v>36.229999999999997</v>
      </c>
      <c r="F150" s="4">
        <v>13.87</v>
      </c>
      <c r="G150" s="4">
        <v>16.79</v>
      </c>
      <c r="H150" s="5">
        <v>948977</v>
      </c>
      <c r="I150" s="5">
        <v>2254068</v>
      </c>
      <c r="J150" s="4">
        <v>24.14</v>
      </c>
      <c r="K150" s="6">
        <f>Table1[[#This Row],[Internet users]]/Table1[[#This Row],[Population]]</f>
        <v>0.42100637602769747</v>
      </c>
    </row>
    <row r="151" spans="1:11" x14ac:dyDescent="0.3">
      <c r="A151" s="4" t="s">
        <v>397</v>
      </c>
      <c r="B151" s="4" t="s">
        <v>39</v>
      </c>
      <c r="C151" s="4">
        <v>5.25</v>
      </c>
      <c r="D151" s="4">
        <v>3.82</v>
      </c>
      <c r="E151" s="4">
        <v>9.52</v>
      </c>
      <c r="F151" s="4">
        <v>5.46</v>
      </c>
      <c r="G151" s="4">
        <v>12.3</v>
      </c>
      <c r="H151" s="5">
        <v>290375</v>
      </c>
      <c r="I151" s="5">
        <v>779006</v>
      </c>
      <c r="J151" s="4"/>
      <c r="K151" s="6">
        <f>Table1[[#This Row],[Internet users]]/Table1[[#This Row],[Population]]</f>
        <v>0.37275065917335681</v>
      </c>
    </row>
    <row r="152" spans="1:11" x14ac:dyDescent="0.3">
      <c r="A152" s="4" t="s">
        <v>426</v>
      </c>
      <c r="B152" s="4" t="s">
        <v>14</v>
      </c>
      <c r="C152" s="4">
        <v>7.15</v>
      </c>
      <c r="D152" s="4">
        <v>0.19</v>
      </c>
      <c r="E152" s="4">
        <v>38.799999999999997</v>
      </c>
      <c r="F152" s="4">
        <v>6.55</v>
      </c>
      <c r="G152" s="4">
        <v>4.1399999999999997</v>
      </c>
      <c r="H152" s="5">
        <v>6257430</v>
      </c>
      <c r="I152" s="5">
        <v>16945057</v>
      </c>
      <c r="J152" s="4">
        <v>13.24</v>
      </c>
      <c r="K152" s="6">
        <f>Table1[[#This Row],[Internet users]]/Table1[[#This Row],[Population]]</f>
        <v>0.36927760113170466</v>
      </c>
    </row>
    <row r="153" spans="1:11" x14ac:dyDescent="0.3">
      <c r="A153" s="4" t="s">
        <v>16</v>
      </c>
      <c r="B153" s="4" t="s">
        <v>17</v>
      </c>
      <c r="C153" s="4">
        <v>0.15</v>
      </c>
      <c r="D153" s="4">
        <v>0.1</v>
      </c>
      <c r="E153" s="4">
        <v>7.08</v>
      </c>
      <c r="F153" s="4">
        <v>0.21</v>
      </c>
      <c r="G153" s="4">
        <v>0.27</v>
      </c>
      <c r="H153" s="5">
        <v>2309235</v>
      </c>
      <c r="I153" s="5">
        <v>6304030</v>
      </c>
      <c r="J153" s="4">
        <v>16.3</v>
      </c>
      <c r="K153" s="6">
        <f>Table1[[#This Row],[Internet users]]/Table1[[#This Row],[Population]]</f>
        <v>0.36631091539856253</v>
      </c>
    </row>
    <row r="154" spans="1:11" x14ac:dyDescent="0.3">
      <c r="A154" s="4" t="s">
        <v>257</v>
      </c>
      <c r="B154" s="4" t="s">
        <v>26</v>
      </c>
      <c r="C154" s="4">
        <v>2.2400000000000002</v>
      </c>
      <c r="D154" s="4">
        <v>0.69</v>
      </c>
      <c r="E154" s="4">
        <v>2.8</v>
      </c>
      <c r="F154" s="4">
        <v>13.31</v>
      </c>
      <c r="G154" s="4">
        <v>5.25</v>
      </c>
      <c r="H154" s="5">
        <v>414278</v>
      </c>
      <c r="I154" s="5">
        <v>1136281</v>
      </c>
      <c r="J154" s="4"/>
      <c r="K154" s="6">
        <f>Table1[[#This Row],[Internet users]]/Table1[[#This Row],[Population]]</f>
        <v>0.36459115306865114</v>
      </c>
    </row>
    <row r="155" spans="1:11" x14ac:dyDescent="0.3">
      <c r="A155" s="4" t="s">
        <v>491</v>
      </c>
      <c r="B155" s="4" t="s">
        <v>20</v>
      </c>
      <c r="C155" s="4" t="s">
        <v>416</v>
      </c>
      <c r="D155" s="4"/>
      <c r="E155" s="4"/>
      <c r="F155" s="4"/>
      <c r="G155" s="4"/>
      <c r="H155" s="5">
        <v>20560</v>
      </c>
      <c r="I155" s="5">
        <v>58413</v>
      </c>
      <c r="J155" s="4"/>
      <c r="K155" s="6">
        <f>Table1[[#This Row],[Internet users]]/Table1[[#This Row],[Population]]</f>
        <v>0.35197644359988361</v>
      </c>
    </row>
    <row r="156" spans="1:11" x14ac:dyDescent="0.3">
      <c r="A156" s="4" t="s">
        <v>56</v>
      </c>
      <c r="B156" s="4" t="s">
        <v>20</v>
      </c>
      <c r="C156" s="4">
        <v>0.56000000000000005</v>
      </c>
      <c r="D156" s="4">
        <v>0.19</v>
      </c>
      <c r="E156" s="4">
        <v>6.86</v>
      </c>
      <c r="F156" s="4">
        <v>10.86</v>
      </c>
      <c r="G156" s="4">
        <v>30.09</v>
      </c>
      <c r="H156" s="5">
        <v>66023</v>
      </c>
      <c r="I156" s="5">
        <v>196129</v>
      </c>
      <c r="J156" s="4"/>
      <c r="K156" s="6">
        <f>Table1[[#This Row],[Internet users]]/Table1[[#This Row],[Population]]</f>
        <v>0.33663048299843468</v>
      </c>
    </row>
    <row r="157" spans="1:11" x14ac:dyDescent="0.3">
      <c r="A157" s="4" t="s">
        <v>36</v>
      </c>
      <c r="B157" s="4" t="s">
        <v>34</v>
      </c>
      <c r="C157" s="4">
        <v>0.38</v>
      </c>
      <c r="D157" s="4">
        <v>0</v>
      </c>
      <c r="E157" s="4">
        <v>5.53</v>
      </c>
      <c r="F157" s="4">
        <v>0.51</v>
      </c>
      <c r="G157" s="4">
        <v>0.78</v>
      </c>
      <c r="H157" s="5">
        <v>7121116</v>
      </c>
      <c r="I157" s="5">
        <v>21228763</v>
      </c>
      <c r="J157" s="4">
        <v>13.15</v>
      </c>
      <c r="K157" s="6">
        <f>Table1[[#This Row],[Internet users]]/Table1[[#This Row],[Population]]</f>
        <v>0.33544658254463533</v>
      </c>
    </row>
    <row r="158" spans="1:11" x14ac:dyDescent="0.3">
      <c r="A158" s="4" t="s">
        <v>100</v>
      </c>
      <c r="B158" s="4" t="s">
        <v>34</v>
      </c>
      <c r="C158" s="4">
        <v>0.83</v>
      </c>
      <c r="D158" s="4">
        <v>0.1</v>
      </c>
      <c r="E158" s="4">
        <v>2</v>
      </c>
      <c r="F158" s="4">
        <v>1.5</v>
      </c>
      <c r="G158" s="4">
        <v>10.18</v>
      </c>
      <c r="H158" s="5">
        <v>5441827</v>
      </c>
      <c r="I158" s="5">
        <v>16249792</v>
      </c>
      <c r="J158" s="4">
        <v>16.12</v>
      </c>
      <c r="K158" s="6">
        <f>Table1[[#This Row],[Internet users]]/Table1[[#This Row],[Population]]</f>
        <v>0.33488594807859695</v>
      </c>
    </row>
    <row r="159" spans="1:11" x14ac:dyDescent="0.3">
      <c r="A159" s="4" t="s">
        <v>442</v>
      </c>
      <c r="B159" s="4" t="s">
        <v>20</v>
      </c>
      <c r="C159" s="4">
        <v>7.85</v>
      </c>
      <c r="D159" s="4">
        <v>0.99</v>
      </c>
      <c r="E159" s="4">
        <v>59.16</v>
      </c>
      <c r="F159" s="4">
        <v>7.2</v>
      </c>
      <c r="G159" s="4">
        <v>12.87</v>
      </c>
      <c r="H159" s="5">
        <v>37257</v>
      </c>
      <c r="I159" s="5">
        <v>112640</v>
      </c>
      <c r="J159" s="4"/>
      <c r="K159" s="6">
        <f>Table1[[#This Row],[Internet users]]/Table1[[#This Row],[Population]]</f>
        <v>0.33076171874999999</v>
      </c>
    </row>
    <row r="160" spans="1:11" x14ac:dyDescent="0.3">
      <c r="A160" s="4" t="s">
        <v>293</v>
      </c>
      <c r="B160" s="4" t="s">
        <v>26</v>
      </c>
      <c r="C160" s="4">
        <v>2.66</v>
      </c>
      <c r="D160" s="4">
        <v>1.29</v>
      </c>
      <c r="E160" s="4">
        <v>9.02</v>
      </c>
      <c r="F160" s="4">
        <v>2.13</v>
      </c>
      <c r="G160" s="4">
        <v>7.19</v>
      </c>
      <c r="H160" s="5">
        <v>665312</v>
      </c>
      <c r="I160" s="5">
        <v>2108328</v>
      </c>
      <c r="J160" s="4"/>
      <c r="K160" s="6">
        <f>Table1[[#This Row],[Internet users]]/Table1[[#This Row],[Population]]</f>
        <v>0.31556380221673286</v>
      </c>
    </row>
    <row r="161" spans="1:11" x14ac:dyDescent="0.3">
      <c r="A161" s="4" t="s">
        <v>197</v>
      </c>
      <c r="B161" s="4" t="s">
        <v>124</v>
      </c>
      <c r="C161" s="4">
        <v>1.56</v>
      </c>
      <c r="D161" s="4">
        <v>0.69</v>
      </c>
      <c r="E161" s="4">
        <v>50</v>
      </c>
      <c r="F161" s="4">
        <v>3.12</v>
      </c>
      <c r="G161" s="4">
        <v>4.6900000000000004</v>
      </c>
      <c r="H161" s="5">
        <v>2977793</v>
      </c>
      <c r="I161" s="5">
        <v>9587522</v>
      </c>
      <c r="J161" s="4">
        <v>20.73</v>
      </c>
      <c r="K161" s="6">
        <f>Table1[[#This Row],[Internet users]]/Table1[[#This Row],[Population]]</f>
        <v>0.31059047374285031</v>
      </c>
    </row>
    <row r="162" spans="1:11" x14ac:dyDescent="0.3">
      <c r="A162" s="4" t="s">
        <v>170</v>
      </c>
      <c r="B162" s="4" t="s">
        <v>124</v>
      </c>
      <c r="C162" s="4">
        <v>1.33</v>
      </c>
      <c r="D162" s="4">
        <v>0.5</v>
      </c>
      <c r="E162" s="4">
        <v>7.5</v>
      </c>
      <c r="F162" s="4">
        <v>1.45</v>
      </c>
      <c r="G162" s="4">
        <v>4.55</v>
      </c>
      <c r="H162" s="5">
        <v>1993079</v>
      </c>
      <c r="I162" s="5">
        <v>6420746</v>
      </c>
      <c r="J162" s="4">
        <v>21.03</v>
      </c>
      <c r="K162" s="6">
        <f>Table1[[#This Row],[Internet users]]/Table1[[#This Row],[Population]]</f>
        <v>0.31041237264330346</v>
      </c>
    </row>
    <row r="163" spans="1:11" x14ac:dyDescent="0.3">
      <c r="A163" s="4" t="s">
        <v>508</v>
      </c>
      <c r="B163" s="4" t="s">
        <v>26</v>
      </c>
      <c r="C163" s="4" t="s">
        <v>509</v>
      </c>
      <c r="D163" s="4"/>
      <c r="E163" s="4"/>
      <c r="F163" s="4"/>
      <c r="G163" s="4"/>
      <c r="H163" s="5">
        <v>4472992</v>
      </c>
      <c r="I163" s="5">
        <v>14438802</v>
      </c>
      <c r="J163" s="4">
        <v>13.99</v>
      </c>
      <c r="K163" s="6">
        <f>Table1[[#This Row],[Internet users]]/Table1[[#This Row],[Population]]</f>
        <v>0.30978969030810172</v>
      </c>
    </row>
    <row r="164" spans="1:11" x14ac:dyDescent="0.3">
      <c r="A164" s="4" t="s">
        <v>92</v>
      </c>
      <c r="B164" s="4" t="s">
        <v>34</v>
      </c>
      <c r="C164" s="4">
        <v>0.78</v>
      </c>
      <c r="D164" s="4">
        <v>0</v>
      </c>
      <c r="E164" s="4">
        <v>14.15</v>
      </c>
      <c r="F164" s="4">
        <v>0.78</v>
      </c>
      <c r="G164" s="4">
        <v>0.87</v>
      </c>
      <c r="H164" s="5">
        <v>16374103</v>
      </c>
      <c r="I164" s="5">
        <v>53708320</v>
      </c>
      <c r="J164" s="4">
        <v>24.06</v>
      </c>
      <c r="K164" s="6">
        <f>Table1[[#This Row],[Internet users]]/Table1[[#This Row],[Population]]</f>
        <v>0.30487088406414498</v>
      </c>
    </row>
    <row r="165" spans="1:11" x14ac:dyDescent="0.3">
      <c r="A165" s="4" t="s">
        <v>25</v>
      </c>
      <c r="B165" s="4" t="s">
        <v>26</v>
      </c>
      <c r="C165" s="4">
        <v>0.27</v>
      </c>
      <c r="D165" s="4">
        <v>0.03</v>
      </c>
      <c r="E165" s="4">
        <v>0.92</v>
      </c>
      <c r="F165" s="4">
        <v>0.63</v>
      </c>
      <c r="G165" s="4">
        <v>0.68</v>
      </c>
      <c r="H165" s="5">
        <v>12512639</v>
      </c>
      <c r="I165" s="5">
        <v>41801533</v>
      </c>
      <c r="J165" s="4">
        <v>9.5</v>
      </c>
      <c r="K165" s="6">
        <f>Table1[[#This Row],[Internet users]]/Table1[[#This Row],[Population]]</f>
        <v>0.29933445263837571</v>
      </c>
    </row>
    <row r="166" spans="1:11" x14ac:dyDescent="0.3">
      <c r="A166" s="4" t="s">
        <v>121</v>
      </c>
      <c r="B166" s="4" t="s">
        <v>26</v>
      </c>
      <c r="C166" s="4">
        <v>0.94</v>
      </c>
      <c r="D166" s="4">
        <v>0.3</v>
      </c>
      <c r="E166" s="4">
        <v>6.02</v>
      </c>
      <c r="F166" s="4">
        <v>3.3</v>
      </c>
      <c r="G166" s="4">
        <v>3.28</v>
      </c>
      <c r="H166" s="5">
        <v>4698108</v>
      </c>
      <c r="I166" s="5">
        <v>15854323</v>
      </c>
      <c r="J166" s="4">
        <v>21.44</v>
      </c>
      <c r="K166" s="6">
        <f>Table1[[#This Row],[Internet users]]/Table1[[#This Row],[Population]]</f>
        <v>0.29632977705828245</v>
      </c>
    </row>
    <row r="167" spans="1:11" x14ac:dyDescent="0.3">
      <c r="A167" s="4" t="s">
        <v>478</v>
      </c>
      <c r="B167" s="4" t="s">
        <v>26</v>
      </c>
      <c r="C167" s="4">
        <v>30.97</v>
      </c>
      <c r="D167" s="4">
        <v>13.27</v>
      </c>
      <c r="E167" s="4">
        <v>121.65</v>
      </c>
      <c r="F167" s="4">
        <v>28.26</v>
      </c>
      <c r="G167" s="4">
        <v>5.33</v>
      </c>
      <c r="H167" s="5">
        <v>61155</v>
      </c>
      <c r="I167" s="5">
        <v>211028</v>
      </c>
      <c r="J167" s="4"/>
      <c r="K167" s="6">
        <f>Table1[[#This Row],[Internet users]]/Table1[[#This Row],[Population]]</f>
        <v>0.28979566692571601</v>
      </c>
    </row>
    <row r="168" spans="1:11" x14ac:dyDescent="0.3">
      <c r="A168" s="4" t="s">
        <v>205</v>
      </c>
      <c r="B168" s="4" t="s">
        <v>34</v>
      </c>
      <c r="C168" s="4">
        <v>1.67</v>
      </c>
      <c r="D168" s="4">
        <v>0.83</v>
      </c>
      <c r="E168" s="4">
        <v>2.5</v>
      </c>
      <c r="F168" s="4">
        <v>2.08</v>
      </c>
      <c r="G168" s="4">
        <v>4.4800000000000004</v>
      </c>
      <c r="H168" s="5">
        <v>356356</v>
      </c>
      <c r="I168" s="5">
        <v>1267974</v>
      </c>
      <c r="J168" s="4"/>
      <c r="K168" s="6">
        <f>Table1[[#This Row],[Internet users]]/Table1[[#This Row],[Population]]</f>
        <v>0.28104361761361035</v>
      </c>
    </row>
    <row r="169" spans="1:11" x14ac:dyDescent="0.3">
      <c r="A169" s="4" t="s">
        <v>146</v>
      </c>
      <c r="B169" s="4" t="s">
        <v>26</v>
      </c>
      <c r="C169" s="4">
        <v>1.1299999999999999</v>
      </c>
      <c r="D169" s="4">
        <v>0.01</v>
      </c>
      <c r="E169" s="4">
        <v>6.8</v>
      </c>
      <c r="F169" s="4">
        <v>1.36</v>
      </c>
      <c r="G169" s="4">
        <v>2.25</v>
      </c>
      <c r="H169" s="5">
        <v>4760715</v>
      </c>
      <c r="I169" s="5">
        <v>17351708</v>
      </c>
      <c r="J169" s="4">
        <v>10.36</v>
      </c>
      <c r="K169" s="6">
        <f>Table1[[#This Row],[Internet users]]/Table1[[#This Row],[Population]]</f>
        <v>0.27436578577740012</v>
      </c>
    </row>
    <row r="170" spans="1:11" x14ac:dyDescent="0.3">
      <c r="A170" s="4" t="s">
        <v>123</v>
      </c>
      <c r="B170" s="4" t="s">
        <v>124</v>
      </c>
      <c r="C170" s="4">
        <v>0.94</v>
      </c>
      <c r="D170" s="4">
        <v>0.02</v>
      </c>
      <c r="E170" s="4">
        <v>2.82</v>
      </c>
      <c r="F170" s="4">
        <v>1.71</v>
      </c>
      <c r="G170" s="4">
        <v>65.83</v>
      </c>
      <c r="H170" s="5">
        <v>1732218</v>
      </c>
      <c r="I170" s="5">
        <v>6465501</v>
      </c>
      <c r="J170" s="4">
        <v>18.3</v>
      </c>
      <c r="K170" s="6">
        <f>Table1[[#This Row],[Internet users]]/Table1[[#This Row],[Population]]</f>
        <v>0.26791705700764723</v>
      </c>
    </row>
    <row r="171" spans="1:11" x14ac:dyDescent="0.3">
      <c r="A171" s="4" t="s">
        <v>466</v>
      </c>
      <c r="B171" s="4" t="s">
        <v>14</v>
      </c>
      <c r="C171" s="4">
        <v>15.98</v>
      </c>
      <c r="D171" s="4">
        <v>0.4</v>
      </c>
      <c r="E171" s="4">
        <v>39.94</v>
      </c>
      <c r="F171" s="4">
        <v>15.98</v>
      </c>
      <c r="G171" s="4">
        <v>15.73</v>
      </c>
      <c r="H171" s="5">
        <v>7548512</v>
      </c>
      <c r="I171" s="5">
        <v>28498683</v>
      </c>
      <c r="J171" s="4">
        <v>16.89</v>
      </c>
      <c r="K171" s="6">
        <f>Table1[[#This Row],[Internet users]]/Table1[[#This Row],[Population]]</f>
        <v>0.26487231006429313</v>
      </c>
    </row>
    <row r="172" spans="1:11" x14ac:dyDescent="0.3">
      <c r="A172" s="4" t="s">
        <v>484</v>
      </c>
      <c r="B172" s="4" t="s">
        <v>26</v>
      </c>
      <c r="C172" s="4">
        <v>49.67</v>
      </c>
      <c r="D172" s="4">
        <v>45.16</v>
      </c>
      <c r="E172" s="4">
        <v>63.22</v>
      </c>
      <c r="F172" s="4">
        <v>12.78</v>
      </c>
      <c r="G172" s="4">
        <v>47.39</v>
      </c>
      <c r="H172" s="5">
        <v>332642</v>
      </c>
      <c r="I172" s="5">
        <v>1308975</v>
      </c>
      <c r="J172" s="4"/>
      <c r="K172" s="6">
        <f>Table1[[#This Row],[Internet users]]/Table1[[#This Row],[Population]]</f>
        <v>0.2541240283427873</v>
      </c>
    </row>
    <row r="173" spans="1:11" x14ac:dyDescent="0.3">
      <c r="A173" s="4" t="s">
        <v>319</v>
      </c>
      <c r="B173" s="4" t="s">
        <v>34</v>
      </c>
      <c r="C173" s="4">
        <v>3.19</v>
      </c>
      <c r="D173" s="4">
        <v>0.18</v>
      </c>
      <c r="E173" s="4">
        <v>4.25</v>
      </c>
      <c r="F173" s="4">
        <v>4.16</v>
      </c>
      <c r="G173" s="4">
        <v>3.42</v>
      </c>
      <c r="H173" s="5">
        <v>1749517</v>
      </c>
      <c r="I173" s="5">
        <v>7061507</v>
      </c>
      <c r="J173" s="4">
        <v>23.41</v>
      </c>
      <c r="K173" s="6">
        <f>Table1[[#This Row],[Internet users]]/Table1[[#This Row],[Population]]</f>
        <v>0.24775405589770003</v>
      </c>
    </row>
    <row r="174" spans="1:11" x14ac:dyDescent="0.3">
      <c r="A174" s="4" t="s">
        <v>413</v>
      </c>
      <c r="B174" s="4" t="s">
        <v>20</v>
      </c>
      <c r="C174" s="4">
        <v>6.06</v>
      </c>
      <c r="D174" s="4">
        <v>0.75</v>
      </c>
      <c r="E174" s="4">
        <v>28.23</v>
      </c>
      <c r="F174" s="4">
        <v>4.25</v>
      </c>
      <c r="G174" s="4" t="s">
        <v>345</v>
      </c>
      <c r="H174" s="5">
        <v>71050</v>
      </c>
      <c r="I174" s="5">
        <v>292680</v>
      </c>
      <c r="J174" s="4"/>
      <c r="K174" s="6">
        <f>Table1[[#This Row],[Internet users]]/Table1[[#This Row],[Population]]</f>
        <v>0.24275659423260898</v>
      </c>
    </row>
    <row r="175" spans="1:11" x14ac:dyDescent="0.3">
      <c r="A175" s="4" t="s">
        <v>195</v>
      </c>
      <c r="B175" s="4" t="s">
        <v>26</v>
      </c>
      <c r="C175" s="4">
        <v>1.56</v>
      </c>
      <c r="D175" s="4">
        <v>0.45</v>
      </c>
      <c r="E175" s="4">
        <v>22.71</v>
      </c>
      <c r="F175" s="4">
        <v>1.62</v>
      </c>
      <c r="G175" s="4">
        <v>5.0199999999999996</v>
      </c>
      <c r="H175" s="5">
        <v>10162807</v>
      </c>
      <c r="I175" s="5">
        <v>42729036</v>
      </c>
      <c r="J175" s="4">
        <v>15.99</v>
      </c>
      <c r="K175" s="6">
        <f>Table1[[#This Row],[Internet users]]/Table1[[#This Row],[Population]]</f>
        <v>0.23784311445734466</v>
      </c>
    </row>
    <row r="176" spans="1:11" x14ac:dyDescent="0.3">
      <c r="A176" s="4" t="s">
        <v>66</v>
      </c>
      <c r="B176" s="4" t="s">
        <v>34</v>
      </c>
      <c r="C176" s="4">
        <v>0.6</v>
      </c>
      <c r="D176" s="4">
        <v>0.22</v>
      </c>
      <c r="E176" s="4">
        <v>3.7</v>
      </c>
      <c r="F176" s="4">
        <v>0.74</v>
      </c>
      <c r="G176" s="4">
        <v>0.82</v>
      </c>
      <c r="H176" s="5">
        <v>729236</v>
      </c>
      <c r="I176" s="5">
        <v>3170216</v>
      </c>
      <c r="J176" s="4">
        <v>16.690000000000001</v>
      </c>
      <c r="K176" s="6">
        <f>Table1[[#This Row],[Internet users]]/Table1[[#This Row],[Population]]</f>
        <v>0.23002722842859918</v>
      </c>
    </row>
    <row r="177" spans="1:11" x14ac:dyDescent="0.3">
      <c r="A177" s="4" t="s">
        <v>117</v>
      </c>
      <c r="B177" s="4" t="s">
        <v>26</v>
      </c>
      <c r="C177" s="4">
        <v>0.9</v>
      </c>
      <c r="D177" s="4">
        <v>0.6</v>
      </c>
      <c r="E177" s="4">
        <v>7.22</v>
      </c>
      <c r="F177" s="4">
        <v>2.75</v>
      </c>
      <c r="G177" s="4">
        <v>1.71</v>
      </c>
      <c r="H177" s="5">
        <v>5580465</v>
      </c>
      <c r="I177" s="5">
        <v>25216267</v>
      </c>
      <c r="J177" s="4">
        <v>11.88</v>
      </c>
      <c r="K177" s="6">
        <f>Table1[[#This Row],[Internet users]]/Table1[[#This Row],[Population]]</f>
        <v>0.22130416845602086</v>
      </c>
    </row>
    <row r="178" spans="1:11" x14ac:dyDescent="0.3">
      <c r="A178" s="4" t="s">
        <v>160</v>
      </c>
      <c r="B178" s="4" t="s">
        <v>26</v>
      </c>
      <c r="C178" s="4">
        <v>1.25</v>
      </c>
      <c r="D178" s="4">
        <v>0.35</v>
      </c>
      <c r="E178" s="4">
        <v>23.1</v>
      </c>
      <c r="F178" s="4">
        <v>1.48</v>
      </c>
      <c r="G178" s="4">
        <v>3.79</v>
      </c>
      <c r="H178" s="5">
        <v>2657770</v>
      </c>
      <c r="I178" s="5">
        <v>12301970</v>
      </c>
      <c r="J178" s="4"/>
      <c r="K178" s="6">
        <f>Table1[[#This Row],[Internet users]]/Table1[[#This Row],[Population]]</f>
        <v>0.21604425957793752</v>
      </c>
    </row>
    <row r="179" spans="1:11" x14ac:dyDescent="0.3">
      <c r="A179" s="4" t="s">
        <v>287</v>
      </c>
      <c r="B179" s="4" t="s">
        <v>17</v>
      </c>
      <c r="C179" s="4">
        <v>2.6</v>
      </c>
      <c r="D179" s="4">
        <v>0.87</v>
      </c>
      <c r="E179" s="4">
        <v>13.12</v>
      </c>
      <c r="F179" s="4">
        <v>4.6500000000000004</v>
      </c>
      <c r="G179" s="4">
        <v>4.0999999999999996</v>
      </c>
      <c r="H179" s="5">
        <v>1959127</v>
      </c>
      <c r="I179" s="5">
        <v>9100835</v>
      </c>
      <c r="J179" s="4">
        <v>7.05</v>
      </c>
      <c r="K179" s="6">
        <f>Table1[[#This Row],[Internet users]]/Table1[[#This Row],[Population]]</f>
        <v>0.21526892862028593</v>
      </c>
    </row>
    <row r="180" spans="1:11" x14ac:dyDescent="0.3">
      <c r="A180" s="4" t="s">
        <v>472</v>
      </c>
      <c r="B180" s="4" t="s">
        <v>17</v>
      </c>
      <c r="C180" s="4">
        <v>21.41</v>
      </c>
      <c r="D180" s="4">
        <v>7.14</v>
      </c>
      <c r="E180" s="4">
        <v>30.44</v>
      </c>
      <c r="F180" s="4">
        <v>11.44</v>
      </c>
      <c r="G180" s="4">
        <v>19.809999999999999</v>
      </c>
      <c r="H180" s="5">
        <v>1223591</v>
      </c>
      <c r="I180" s="5">
        <v>5850901</v>
      </c>
      <c r="J180" s="4"/>
      <c r="K180" s="6">
        <f>Table1[[#This Row],[Internet users]]/Table1[[#This Row],[Population]]</f>
        <v>0.2091286453146276</v>
      </c>
    </row>
    <row r="181" spans="1:11" x14ac:dyDescent="0.3">
      <c r="A181" s="4" t="s">
        <v>303</v>
      </c>
      <c r="B181" s="4" t="s">
        <v>26</v>
      </c>
      <c r="C181" s="4">
        <v>2.79</v>
      </c>
      <c r="D181" s="4">
        <v>0.19</v>
      </c>
      <c r="E181" s="4">
        <v>6.98</v>
      </c>
      <c r="F181" s="4">
        <v>3.33</v>
      </c>
      <c r="G181" s="4">
        <v>12.82</v>
      </c>
      <c r="H181" s="5">
        <v>6162217</v>
      </c>
      <c r="I181" s="5">
        <v>29496004</v>
      </c>
      <c r="J181" s="4">
        <v>15.66</v>
      </c>
      <c r="K181" s="6">
        <f>Table1[[#This Row],[Internet users]]/Table1[[#This Row],[Population]]</f>
        <v>0.20891701126701773</v>
      </c>
    </row>
    <row r="182" spans="1:11" x14ac:dyDescent="0.3">
      <c r="A182" s="4" t="s">
        <v>401</v>
      </c>
      <c r="B182" s="4" t="s">
        <v>52</v>
      </c>
      <c r="C182" s="4">
        <v>5.56</v>
      </c>
      <c r="D182" s="4">
        <v>2.78</v>
      </c>
      <c r="E182" s="4">
        <v>13.91</v>
      </c>
      <c r="F182" s="4">
        <v>4.63</v>
      </c>
      <c r="G182" s="4">
        <v>9.49</v>
      </c>
      <c r="H182" s="5">
        <v>919398</v>
      </c>
      <c r="I182" s="5">
        <v>4403313</v>
      </c>
      <c r="J182" s="4"/>
      <c r="K182" s="6">
        <f>Table1[[#This Row],[Internet users]]/Table1[[#This Row],[Population]]</f>
        <v>0.20879687635196498</v>
      </c>
    </row>
    <row r="183" spans="1:11" x14ac:dyDescent="0.3">
      <c r="A183" s="4" t="s">
        <v>80</v>
      </c>
      <c r="B183" s="4" t="s">
        <v>52</v>
      </c>
      <c r="C183" s="4">
        <v>0.74</v>
      </c>
      <c r="D183" s="4">
        <v>0</v>
      </c>
      <c r="E183" s="4">
        <v>2.2200000000000002</v>
      </c>
      <c r="F183" s="4">
        <v>4.7300000000000004</v>
      </c>
      <c r="G183" s="4">
        <v>4.87</v>
      </c>
      <c r="H183" s="5">
        <v>1387116</v>
      </c>
      <c r="I183" s="5">
        <v>6678559</v>
      </c>
      <c r="J183" s="4">
        <v>10.4</v>
      </c>
      <c r="K183" s="6">
        <f>Table1[[#This Row],[Internet users]]/Table1[[#This Row],[Population]]</f>
        <v>0.2076968998851399</v>
      </c>
    </row>
    <row r="184" spans="1:11" x14ac:dyDescent="0.3">
      <c r="A184" s="4" t="s">
        <v>409</v>
      </c>
      <c r="B184" s="4" t="s">
        <v>26</v>
      </c>
      <c r="C184" s="4">
        <v>5.86</v>
      </c>
      <c r="D184" s="4">
        <v>2.37</v>
      </c>
      <c r="E184" s="4">
        <v>97.71</v>
      </c>
      <c r="F184" s="4">
        <v>5.0999999999999996</v>
      </c>
      <c r="G184" s="4">
        <v>6.89</v>
      </c>
      <c r="H184" s="5">
        <v>416753</v>
      </c>
      <c r="I184" s="5">
        <v>2280094</v>
      </c>
      <c r="J184" s="4"/>
      <c r="K184" s="6">
        <f>Table1[[#This Row],[Internet users]]/Table1[[#This Row],[Population]]</f>
        <v>0.18277886788878003</v>
      </c>
    </row>
    <row r="185" spans="1:11" x14ac:dyDescent="0.3">
      <c r="A185" s="4" t="s">
        <v>211</v>
      </c>
      <c r="B185" s="4" t="s">
        <v>26</v>
      </c>
      <c r="C185" s="4">
        <v>1.71</v>
      </c>
      <c r="D185" s="4">
        <v>1.41</v>
      </c>
      <c r="E185" s="4">
        <v>4.17</v>
      </c>
      <c r="F185" s="4">
        <v>2.44</v>
      </c>
      <c r="G185" s="4">
        <v>2.06</v>
      </c>
      <c r="H185" s="5">
        <v>19543075</v>
      </c>
      <c r="I185" s="5">
        <v>109224414</v>
      </c>
      <c r="J185" s="4">
        <v>21.08</v>
      </c>
      <c r="K185" s="6">
        <f>Table1[[#This Row],[Internet users]]/Table1[[#This Row],[Population]]</f>
        <v>0.17892588556254466</v>
      </c>
    </row>
    <row r="186" spans="1:11" x14ac:dyDescent="0.3">
      <c r="A186" s="4" t="s">
        <v>259</v>
      </c>
      <c r="B186" s="4" t="s">
        <v>26</v>
      </c>
      <c r="C186" s="4">
        <v>2.25</v>
      </c>
      <c r="D186" s="4">
        <v>0.26</v>
      </c>
      <c r="E186" s="4">
        <v>10.93</v>
      </c>
      <c r="F186" s="4">
        <v>1.05</v>
      </c>
      <c r="G186" s="4">
        <v>2.73</v>
      </c>
      <c r="H186" s="5">
        <v>8861485</v>
      </c>
      <c r="I186" s="5">
        <v>51392565</v>
      </c>
      <c r="J186" s="4">
        <v>16.93</v>
      </c>
      <c r="K186" s="6">
        <f>Table1[[#This Row],[Internet users]]/Table1[[#This Row],[Population]]</f>
        <v>0.17242737349264431</v>
      </c>
    </row>
    <row r="187" spans="1:11" x14ac:dyDescent="0.3">
      <c r="A187" s="4" t="s">
        <v>379</v>
      </c>
      <c r="B187" s="4" t="s">
        <v>26</v>
      </c>
      <c r="C187" s="4">
        <v>4.5199999999999996</v>
      </c>
      <c r="D187" s="4">
        <v>2.35</v>
      </c>
      <c r="E187" s="4">
        <v>18.059999999999999</v>
      </c>
      <c r="F187" s="4">
        <v>2.4700000000000002</v>
      </c>
      <c r="G187" s="4">
        <v>10.26</v>
      </c>
      <c r="H187" s="5">
        <v>3047909</v>
      </c>
      <c r="I187" s="5">
        <v>19751466</v>
      </c>
      <c r="J187" s="4"/>
      <c r="K187" s="6">
        <f>Table1[[#This Row],[Internet users]]/Table1[[#This Row],[Population]]</f>
        <v>0.15431305200332979</v>
      </c>
    </row>
    <row r="188" spans="1:11" x14ac:dyDescent="0.3">
      <c r="A188" s="4" t="s">
        <v>458</v>
      </c>
      <c r="B188" s="4" t="s">
        <v>20</v>
      </c>
      <c r="C188" s="4">
        <v>9.94</v>
      </c>
      <c r="D188" s="4">
        <v>2.35</v>
      </c>
      <c r="E188" s="4">
        <v>22.87</v>
      </c>
      <c r="F188" s="4">
        <v>10.5</v>
      </c>
      <c r="G188" s="4">
        <v>11.05</v>
      </c>
      <c r="H188" s="5">
        <v>16971</v>
      </c>
      <c r="I188" s="5">
        <v>115847</v>
      </c>
      <c r="J188" s="4"/>
      <c r="K188" s="6">
        <f>Table1[[#This Row],[Internet users]]/Table1[[#This Row],[Population]]</f>
        <v>0.14649494592004972</v>
      </c>
    </row>
    <row r="189" spans="1:11" x14ac:dyDescent="0.3">
      <c r="A189" s="4" t="s">
        <v>476</v>
      </c>
      <c r="B189" s="4" t="s">
        <v>26</v>
      </c>
      <c r="C189" s="4">
        <v>25.46</v>
      </c>
      <c r="D189" s="4">
        <v>20.37</v>
      </c>
      <c r="E189" s="4">
        <v>25.46</v>
      </c>
      <c r="F189" s="4">
        <v>27.41</v>
      </c>
      <c r="G189" s="4">
        <v>3.59</v>
      </c>
      <c r="H189" s="5">
        <v>2566126</v>
      </c>
      <c r="I189" s="5">
        <v>18143217</v>
      </c>
      <c r="J189" s="4">
        <v>17.95</v>
      </c>
      <c r="K189" s="6">
        <f>Table1[[#This Row],[Internet users]]/Table1[[#This Row],[Population]]</f>
        <v>0.14143721039107893</v>
      </c>
    </row>
    <row r="190" spans="1:11" x14ac:dyDescent="0.3">
      <c r="A190" s="4" t="s">
        <v>201</v>
      </c>
      <c r="B190" s="4" t="s">
        <v>26</v>
      </c>
      <c r="C190" s="4">
        <v>1.61</v>
      </c>
      <c r="D190" s="4">
        <v>1.03</v>
      </c>
      <c r="E190" s="4">
        <v>3.21</v>
      </c>
      <c r="F190" s="4">
        <v>5.29</v>
      </c>
      <c r="G190" s="4">
        <v>7.95</v>
      </c>
      <c r="H190" s="5">
        <v>4271053</v>
      </c>
      <c r="I190" s="5">
        <v>30809787</v>
      </c>
      <c r="J190" s="4">
        <v>22.59</v>
      </c>
      <c r="K190" s="6">
        <f>Table1[[#This Row],[Internet users]]/Table1[[#This Row],[Population]]</f>
        <v>0.13862650202677482</v>
      </c>
    </row>
    <row r="191" spans="1:11" x14ac:dyDescent="0.3">
      <c r="A191" s="4" t="s">
        <v>349</v>
      </c>
      <c r="B191" s="4" t="s">
        <v>26</v>
      </c>
      <c r="C191" s="4">
        <v>3.61</v>
      </c>
      <c r="D191" s="4">
        <v>0.45</v>
      </c>
      <c r="E191" s="4">
        <v>60.21</v>
      </c>
      <c r="F191" s="4">
        <v>27.22</v>
      </c>
      <c r="G191" s="4">
        <v>20.99</v>
      </c>
      <c r="H191" s="5">
        <v>1578008</v>
      </c>
      <c r="I191" s="5">
        <v>11485044</v>
      </c>
      <c r="J191" s="4"/>
      <c r="K191" s="6">
        <f>Table1[[#This Row],[Internet users]]/Table1[[#This Row],[Population]]</f>
        <v>0.13739677444857851</v>
      </c>
    </row>
    <row r="192" spans="1:11" x14ac:dyDescent="0.3">
      <c r="A192" s="4" t="s">
        <v>327</v>
      </c>
      <c r="B192" s="4" t="s">
        <v>26</v>
      </c>
      <c r="C192" s="4">
        <v>3.26</v>
      </c>
      <c r="D192" s="4">
        <v>2.17</v>
      </c>
      <c r="E192" s="4">
        <v>4.4000000000000004</v>
      </c>
      <c r="F192" s="4">
        <v>3.69</v>
      </c>
      <c r="G192" s="4">
        <v>9.2200000000000006</v>
      </c>
      <c r="H192" s="5">
        <v>1000575</v>
      </c>
      <c r="I192" s="5">
        <v>7650150</v>
      </c>
      <c r="J192" s="4"/>
      <c r="K192" s="6">
        <f>Table1[[#This Row],[Internet users]]/Table1[[#This Row],[Population]]</f>
        <v>0.13079155310680182</v>
      </c>
    </row>
    <row r="193" spans="1:11" x14ac:dyDescent="0.3">
      <c r="A193" s="4" t="s">
        <v>329</v>
      </c>
      <c r="B193" s="4" t="s">
        <v>26</v>
      </c>
      <c r="C193" s="4">
        <v>3.28</v>
      </c>
      <c r="D193" s="4">
        <v>1.2</v>
      </c>
      <c r="E193" s="4">
        <v>169.79</v>
      </c>
      <c r="F193" s="4">
        <v>4.12</v>
      </c>
      <c r="G193" s="4">
        <v>12.37</v>
      </c>
      <c r="H193" s="5">
        <v>2358540</v>
      </c>
      <c r="I193" s="5">
        <v>19077749</v>
      </c>
      <c r="J193" s="4"/>
      <c r="K193" s="6">
        <f>Table1[[#This Row],[Internet users]]/Table1[[#This Row],[Population]]</f>
        <v>0.12362779277576197</v>
      </c>
    </row>
    <row r="194" spans="1:11" x14ac:dyDescent="0.3">
      <c r="A194" s="4" t="s">
        <v>383</v>
      </c>
      <c r="B194" s="4" t="s">
        <v>26</v>
      </c>
      <c r="C194" s="4">
        <v>4.6900000000000004</v>
      </c>
      <c r="D194" s="4">
        <v>2.0299999999999998</v>
      </c>
      <c r="E194" s="4">
        <v>40.64</v>
      </c>
      <c r="F194" s="4">
        <v>4.5</v>
      </c>
      <c r="G194" s="4">
        <v>15.12</v>
      </c>
      <c r="H194" s="5">
        <v>963795</v>
      </c>
      <c r="I194" s="5">
        <v>7889093</v>
      </c>
      <c r="J194" s="4">
        <v>34.42</v>
      </c>
      <c r="K194" s="6">
        <f>Table1[[#This Row],[Internet users]]/Table1[[#This Row],[Population]]</f>
        <v>0.12216803630024389</v>
      </c>
    </row>
    <row r="195" spans="1:11" x14ac:dyDescent="0.3">
      <c r="A195" s="4" t="s">
        <v>104</v>
      </c>
      <c r="B195" s="4" t="s">
        <v>105</v>
      </c>
      <c r="C195" s="4">
        <v>0.85</v>
      </c>
      <c r="D195" s="4">
        <v>0.27</v>
      </c>
      <c r="E195" s="4">
        <v>1.9</v>
      </c>
      <c r="F195" s="4">
        <v>2.74</v>
      </c>
      <c r="G195" s="4">
        <v>1.25</v>
      </c>
      <c r="H195" s="5">
        <v>1353986</v>
      </c>
      <c r="I195" s="5">
        <v>11123178</v>
      </c>
      <c r="J195" s="4">
        <v>12.49</v>
      </c>
      <c r="K195" s="6">
        <f>Table1[[#This Row],[Internet users]]/Table1[[#This Row],[Population]]</f>
        <v>0.12172654254027042</v>
      </c>
    </row>
    <row r="196" spans="1:11" x14ac:dyDescent="0.3">
      <c r="A196" s="4" t="s">
        <v>503</v>
      </c>
      <c r="B196" s="4" t="s">
        <v>20</v>
      </c>
      <c r="C196" s="4" t="s">
        <v>416</v>
      </c>
      <c r="D196" s="4"/>
      <c r="E196" s="4"/>
      <c r="F196" s="4"/>
      <c r="G196" s="4"/>
      <c r="H196" s="5">
        <v>1383</v>
      </c>
      <c r="I196" s="5">
        <v>11661</v>
      </c>
      <c r="J196" s="4"/>
      <c r="K196" s="6">
        <f>Table1[[#This Row],[Internet users]]/Table1[[#This Row],[Population]]</f>
        <v>0.11860046308206844</v>
      </c>
    </row>
    <row r="197" spans="1:11" x14ac:dyDescent="0.3">
      <c r="A197" s="4" t="s">
        <v>233</v>
      </c>
      <c r="B197" s="4" t="s">
        <v>26</v>
      </c>
      <c r="C197" s="4">
        <v>1.99</v>
      </c>
      <c r="D197" s="4">
        <v>0.79</v>
      </c>
      <c r="E197" s="4">
        <v>4.96</v>
      </c>
      <c r="F197" s="4">
        <v>2.08</v>
      </c>
      <c r="G197" s="4">
        <v>4.53</v>
      </c>
      <c r="H197" s="5">
        <v>1449758</v>
      </c>
      <c r="I197" s="5">
        <v>12414293</v>
      </c>
      <c r="J197" s="4"/>
      <c r="K197" s="6">
        <f>Table1[[#This Row],[Internet users]]/Table1[[#This Row],[Population]]</f>
        <v>0.11678135839068725</v>
      </c>
    </row>
    <row r="198" spans="1:11" x14ac:dyDescent="0.3">
      <c r="A198" s="4" t="s">
        <v>440</v>
      </c>
      <c r="B198" s="4" t="s">
        <v>20</v>
      </c>
      <c r="C198" s="4">
        <v>7.83</v>
      </c>
      <c r="D198" s="4">
        <v>3.14</v>
      </c>
      <c r="E198" s="4">
        <v>12.55</v>
      </c>
      <c r="F198" s="4">
        <v>8.5299999999999994</v>
      </c>
      <c r="G198" s="4">
        <v>8.3699999999999992</v>
      </c>
      <c r="H198" s="5">
        <v>72872</v>
      </c>
      <c r="I198" s="5">
        <v>652857</v>
      </c>
      <c r="J198" s="4"/>
      <c r="K198" s="6">
        <f>Table1[[#This Row],[Internet users]]/Table1[[#This Row],[Population]]</f>
        <v>0.11162015571557019</v>
      </c>
    </row>
    <row r="199" spans="1:11" x14ac:dyDescent="0.3">
      <c r="A199" s="4" t="s">
        <v>130</v>
      </c>
      <c r="B199" s="4" t="s">
        <v>34</v>
      </c>
      <c r="C199" s="4">
        <v>1.02</v>
      </c>
      <c r="D199" s="4">
        <v>0.38</v>
      </c>
      <c r="E199" s="4">
        <v>2.12</v>
      </c>
      <c r="F199" s="4">
        <v>1.55</v>
      </c>
      <c r="G199" s="4">
        <v>1.6</v>
      </c>
      <c r="H199" s="5">
        <v>4068194</v>
      </c>
      <c r="I199" s="9">
        <v>37171921</v>
      </c>
      <c r="J199" s="4">
        <v>5.5</v>
      </c>
      <c r="K199" s="6">
        <f>Table1[[#This Row],[Internet users]]/Table1[[#This Row],[Population]]</f>
        <v>0.10944266237948801</v>
      </c>
    </row>
    <row r="200" spans="1:11" x14ac:dyDescent="0.3">
      <c r="A200" s="4" t="s">
        <v>261</v>
      </c>
      <c r="B200" s="4" t="s">
        <v>20</v>
      </c>
      <c r="C200" s="4">
        <v>2.2599999999999998</v>
      </c>
      <c r="D200" s="4">
        <v>0.71</v>
      </c>
      <c r="E200" s="4">
        <v>9.61</v>
      </c>
      <c r="F200" s="4">
        <v>5.4</v>
      </c>
      <c r="G200" s="4">
        <v>12.14</v>
      </c>
      <c r="H200" s="5">
        <v>924955</v>
      </c>
      <c r="I200" s="5">
        <v>8606323</v>
      </c>
      <c r="J200" s="4"/>
      <c r="K200" s="6">
        <f>Table1[[#This Row],[Internet users]]/Table1[[#This Row],[Population]]</f>
        <v>0.10747388867464072</v>
      </c>
    </row>
    <row r="201" spans="1:11" x14ac:dyDescent="0.3">
      <c r="A201" s="4" t="s">
        <v>164</v>
      </c>
      <c r="B201" s="4" t="s">
        <v>26</v>
      </c>
      <c r="C201" s="4">
        <v>1.28</v>
      </c>
      <c r="D201" s="4">
        <v>0.47</v>
      </c>
      <c r="E201" s="4">
        <v>12.04</v>
      </c>
      <c r="F201" s="4">
        <v>3.3</v>
      </c>
      <c r="G201" s="4">
        <v>25.52</v>
      </c>
      <c r="H201" s="5">
        <v>2194985</v>
      </c>
      <c r="I201" s="5">
        <v>22442831</v>
      </c>
      <c r="J201" s="4"/>
      <c r="K201" s="6">
        <f>Table1[[#This Row],[Internet users]]/Table1[[#This Row],[Population]]</f>
        <v>9.7803392094339608E-2</v>
      </c>
    </row>
    <row r="202" spans="1:11" x14ac:dyDescent="0.3">
      <c r="A202" s="4" t="s">
        <v>393</v>
      </c>
      <c r="B202" s="4" t="s">
        <v>26</v>
      </c>
      <c r="C202" s="4">
        <v>5.14</v>
      </c>
      <c r="D202" s="4">
        <v>0.66</v>
      </c>
      <c r="E202" s="4">
        <v>50.09</v>
      </c>
      <c r="F202" s="4">
        <v>8.81</v>
      </c>
      <c r="G202" s="4">
        <v>7.24</v>
      </c>
      <c r="H202" s="5">
        <v>2505948</v>
      </c>
      <c r="I202" s="5">
        <v>26262313</v>
      </c>
      <c r="J202" s="4"/>
      <c r="K202" s="6">
        <f>Table1[[#This Row],[Internet users]]/Table1[[#This Row],[Population]]</f>
        <v>9.5419927407003335E-2</v>
      </c>
    </row>
    <row r="203" spans="1:11" x14ac:dyDescent="0.3">
      <c r="A203" s="4" t="s">
        <v>495</v>
      </c>
      <c r="B203" s="4" t="s">
        <v>26</v>
      </c>
      <c r="C203" s="4" t="s">
        <v>416</v>
      </c>
      <c r="D203" s="4"/>
      <c r="E203" s="4"/>
      <c r="F203" s="4"/>
      <c r="G203" s="4"/>
      <c r="H203" s="5">
        <v>1003542</v>
      </c>
      <c r="I203" s="5">
        <v>10975927</v>
      </c>
      <c r="J203" s="4"/>
      <c r="K203" s="6">
        <f>Table1[[#This Row],[Internet users]]/Table1[[#This Row],[Population]]</f>
        <v>9.1431183899091162E-2</v>
      </c>
    </row>
    <row r="204" spans="1:11" x14ac:dyDescent="0.3">
      <c r="A204" s="4" t="s">
        <v>309</v>
      </c>
      <c r="B204" s="4" t="s">
        <v>26</v>
      </c>
      <c r="C204" s="4">
        <v>2.88</v>
      </c>
      <c r="D204" s="4">
        <v>1</v>
      </c>
      <c r="E204" s="4">
        <v>7.64</v>
      </c>
      <c r="F204" s="4">
        <v>1.94</v>
      </c>
      <c r="G204" s="4">
        <v>4.57</v>
      </c>
      <c r="H204" s="5">
        <v>455055</v>
      </c>
      <c r="I204" s="5">
        <v>5244359</v>
      </c>
      <c r="J204" s="4"/>
      <c r="K204" s="6">
        <f>Table1[[#This Row],[Internet users]]/Table1[[#This Row],[Population]]</f>
        <v>8.6770375559720447E-2</v>
      </c>
    </row>
    <row r="205" spans="1:11" x14ac:dyDescent="0.3">
      <c r="A205" s="4" t="s">
        <v>505</v>
      </c>
      <c r="B205" s="4" t="s">
        <v>26</v>
      </c>
      <c r="C205" s="4" t="s">
        <v>506</v>
      </c>
      <c r="D205" s="4"/>
      <c r="E205" s="4"/>
      <c r="F205" s="4"/>
      <c r="G205" s="4"/>
      <c r="H205" s="5">
        <v>7011507</v>
      </c>
      <c r="I205" s="5">
        <v>84068091</v>
      </c>
      <c r="J205" s="4">
        <v>12.08</v>
      </c>
      <c r="K205" s="6">
        <f>Table1[[#This Row],[Internet users]]/Table1[[#This Row],[Population]]</f>
        <v>8.3402714592389168E-2</v>
      </c>
    </row>
    <row r="206" spans="1:11" x14ac:dyDescent="0.3">
      <c r="A206" s="4" t="s">
        <v>323</v>
      </c>
      <c r="B206" s="4" t="s">
        <v>26</v>
      </c>
      <c r="C206" s="4">
        <v>3.21</v>
      </c>
      <c r="D206" s="4">
        <v>0.6</v>
      </c>
      <c r="E206" s="4">
        <v>96.41</v>
      </c>
      <c r="F206" s="4">
        <v>4.38</v>
      </c>
      <c r="G206" s="4">
        <v>5.27</v>
      </c>
      <c r="H206" s="5">
        <v>69020</v>
      </c>
      <c r="I206" s="5">
        <v>832322</v>
      </c>
      <c r="J206" s="4"/>
      <c r="K206" s="6">
        <f>Table1[[#This Row],[Internet users]]/Table1[[#This Row],[Population]]</f>
        <v>8.2924637339875679E-2</v>
      </c>
    </row>
    <row r="207" spans="1:11" x14ac:dyDescent="0.3">
      <c r="A207" s="4" t="s">
        <v>285</v>
      </c>
      <c r="B207" s="4" t="s">
        <v>26</v>
      </c>
      <c r="C207" s="4">
        <v>2.59</v>
      </c>
      <c r="D207" s="4">
        <v>1.55</v>
      </c>
      <c r="E207" s="4">
        <v>20</v>
      </c>
      <c r="F207" s="4">
        <v>3.25</v>
      </c>
      <c r="G207" s="4">
        <v>3.75</v>
      </c>
      <c r="H207" s="5">
        <v>377607</v>
      </c>
      <c r="I207" s="5">
        <v>4818973</v>
      </c>
      <c r="J207" s="4"/>
      <c r="K207" s="6">
        <f>Table1[[#This Row],[Internet users]]/Table1[[#This Row],[Population]]</f>
        <v>7.835839711075368E-2</v>
      </c>
    </row>
    <row r="208" spans="1:11" x14ac:dyDescent="0.3">
      <c r="A208" s="4" t="s">
        <v>474</v>
      </c>
      <c r="B208" s="4" t="s">
        <v>26</v>
      </c>
      <c r="C208" s="4">
        <v>23.33</v>
      </c>
      <c r="D208" s="4">
        <v>2.21</v>
      </c>
      <c r="E208" s="4">
        <v>45.16</v>
      </c>
      <c r="F208" s="4">
        <v>23.33</v>
      </c>
      <c r="G208" s="4">
        <v>23.33</v>
      </c>
      <c r="H208" s="5">
        <v>968500</v>
      </c>
      <c r="I208" s="5">
        <v>15477729</v>
      </c>
      <c r="J208" s="4"/>
      <c r="K208" s="6">
        <f>Table1[[#This Row],[Internet users]]/Table1[[#This Row],[Population]]</f>
        <v>6.2573779396189189E-2</v>
      </c>
    </row>
    <row r="209" spans="1:11" x14ac:dyDescent="0.3">
      <c r="A209" s="4" t="s">
        <v>241</v>
      </c>
      <c r="B209" s="4" t="s">
        <v>26</v>
      </c>
      <c r="C209" s="4">
        <v>2.1</v>
      </c>
      <c r="D209" s="4">
        <v>0.09</v>
      </c>
      <c r="E209" s="4">
        <v>5.12</v>
      </c>
      <c r="F209" s="4">
        <v>2.12</v>
      </c>
      <c r="G209" s="4">
        <v>18.79</v>
      </c>
      <c r="H209" s="5">
        <v>607311</v>
      </c>
      <c r="I209" s="5">
        <v>11175374</v>
      </c>
      <c r="J209" s="4"/>
      <c r="K209" s="6">
        <f>Table1[[#This Row],[Internet users]]/Table1[[#This Row],[Population]]</f>
        <v>5.4343684605096886E-2</v>
      </c>
    </row>
    <row r="210" spans="1:11" x14ac:dyDescent="0.3">
      <c r="A210" s="4" t="s">
        <v>454</v>
      </c>
      <c r="B210" s="4" t="s">
        <v>26</v>
      </c>
      <c r="C210" s="4">
        <v>9.0299999999999994</v>
      </c>
      <c r="D210" s="4">
        <v>3.01</v>
      </c>
      <c r="E210" s="4">
        <v>60.21</v>
      </c>
      <c r="F210" s="4">
        <v>8.25</v>
      </c>
      <c r="G210" s="4">
        <v>6.03</v>
      </c>
      <c r="H210" s="5">
        <v>202204</v>
      </c>
      <c r="I210" s="5">
        <v>4666368</v>
      </c>
      <c r="J210" s="4"/>
      <c r="K210" s="6">
        <f>Table1[[#This Row],[Internet users]]/Table1[[#This Row],[Population]]</f>
        <v>4.3332201832345839E-2</v>
      </c>
    </row>
    <row r="211" spans="1:11" x14ac:dyDescent="0.3">
      <c r="A211" s="4" t="s">
        <v>371</v>
      </c>
      <c r="B211" s="4" t="s">
        <v>26</v>
      </c>
      <c r="C211" s="4">
        <v>4.41</v>
      </c>
      <c r="D211" s="4">
        <v>2.25</v>
      </c>
      <c r="E211" s="4">
        <v>36.119999999999997</v>
      </c>
      <c r="F211" s="4">
        <v>4.12</v>
      </c>
      <c r="G211" s="4">
        <v>11.71</v>
      </c>
      <c r="H211" s="5">
        <v>73148</v>
      </c>
      <c r="I211" s="5">
        <v>1874303</v>
      </c>
      <c r="J211" s="4"/>
      <c r="K211" s="6">
        <f>Table1[[#This Row],[Internet users]]/Table1[[#This Row],[Population]]</f>
        <v>3.9026774219536542E-2</v>
      </c>
    </row>
    <row r="212" spans="1:11" x14ac:dyDescent="0.3">
      <c r="A212" s="4" t="s">
        <v>64</v>
      </c>
      <c r="B212" s="4" t="s">
        <v>26</v>
      </c>
      <c r="C212" s="4">
        <v>0.6</v>
      </c>
      <c r="D212" s="4">
        <v>0.18</v>
      </c>
      <c r="E212" s="4">
        <v>6.67</v>
      </c>
      <c r="F212" s="4">
        <v>0.5</v>
      </c>
      <c r="G212" s="4">
        <v>6.19</v>
      </c>
      <c r="H212" s="5">
        <v>294851</v>
      </c>
      <c r="I212" s="5">
        <v>15008226</v>
      </c>
      <c r="J212" s="4">
        <v>7.95</v>
      </c>
      <c r="K212" s="6">
        <f>Table1[[#This Row],[Internet users]]/Table1[[#This Row],[Population]]</f>
        <v>1.9645959489149482E-2</v>
      </c>
    </row>
    <row r="213" spans="1:11" x14ac:dyDescent="0.3">
      <c r="A213" s="4" t="s">
        <v>487</v>
      </c>
      <c r="B213" s="4" t="s">
        <v>52</v>
      </c>
      <c r="C213" s="4" t="s">
        <v>416</v>
      </c>
      <c r="D213" s="4"/>
      <c r="E213" s="4"/>
      <c r="F213" s="4"/>
      <c r="G213" s="4"/>
      <c r="H213" s="5">
        <v>66402</v>
      </c>
      <c r="I213" s="9">
        <v>3452786</v>
      </c>
      <c r="J213" s="4"/>
      <c r="K213" s="6">
        <f>Table1[[#This Row],[Internet users]]/Table1[[#This Row],[Population]]</f>
        <v>1.9231426448091483E-2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3C5B5-9DFA-4C4E-8874-0B7AD457FB5C}">
  <dimension ref="A1:I243"/>
  <sheetViews>
    <sheetView workbookViewId="0">
      <selection activeCell="D11" sqref="D11"/>
    </sheetView>
  </sheetViews>
  <sheetFormatPr defaultRowHeight="14.4" x14ac:dyDescent="0.3"/>
  <cols>
    <col min="1" max="1" width="14.21875" customWidth="1"/>
    <col min="3" max="3" width="18.44140625" customWidth="1"/>
    <col min="4" max="4" width="21.33203125" customWidth="1"/>
    <col min="5" max="5" width="25.6640625" customWidth="1"/>
    <col min="6" max="6" width="29.44140625" customWidth="1"/>
    <col min="7" max="7" width="25.109375" customWidth="1"/>
    <col min="8" max="8" width="42.33203125" customWidth="1"/>
    <col min="9" max="9" width="42" customWidth="1"/>
  </cols>
  <sheetData>
    <row r="1" spans="1:9" x14ac:dyDescent="0.3">
      <c r="A1" t="s">
        <v>0</v>
      </c>
      <c r="B1" t="s">
        <v>510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3">
      <c r="A2" t="s">
        <v>12</v>
      </c>
      <c r="B2" t="s">
        <v>13</v>
      </c>
      <c r="C2" t="s">
        <v>14</v>
      </c>
      <c r="D2">
        <v>27</v>
      </c>
      <c r="E2" s="3">
        <v>0.05</v>
      </c>
      <c r="F2" s="3">
        <v>0.02</v>
      </c>
      <c r="G2" s="3">
        <v>20.95</v>
      </c>
      <c r="H2" s="3">
        <v>0.11</v>
      </c>
      <c r="I2" s="3">
        <v>0.9</v>
      </c>
    </row>
    <row r="3" spans="1:9" x14ac:dyDescent="0.3">
      <c r="A3" t="s">
        <v>15</v>
      </c>
      <c r="B3" t="s">
        <v>16</v>
      </c>
      <c r="C3" t="s">
        <v>17</v>
      </c>
      <c r="D3">
        <v>20</v>
      </c>
      <c r="E3" s="3">
        <v>0.15</v>
      </c>
      <c r="F3" s="3">
        <v>0.1</v>
      </c>
      <c r="G3" s="3">
        <v>7.08</v>
      </c>
      <c r="H3" s="3">
        <v>0.21</v>
      </c>
      <c r="I3" s="3">
        <v>0.27</v>
      </c>
    </row>
    <row r="4" spans="1:9" x14ac:dyDescent="0.3">
      <c r="A4" t="s">
        <v>18</v>
      </c>
      <c r="B4" t="s">
        <v>19</v>
      </c>
      <c r="C4" t="s">
        <v>20</v>
      </c>
      <c r="D4">
        <v>18</v>
      </c>
      <c r="E4" s="3">
        <v>0.19</v>
      </c>
      <c r="F4" s="3">
        <v>0.05</v>
      </c>
      <c r="G4" s="3">
        <v>0.85</v>
      </c>
      <c r="H4" s="3">
        <v>0.59</v>
      </c>
      <c r="I4" s="3">
        <v>3.57</v>
      </c>
    </row>
    <row r="5" spans="1:9" x14ac:dyDescent="0.3">
      <c r="A5" t="s">
        <v>21</v>
      </c>
      <c r="B5" t="s">
        <v>22</v>
      </c>
      <c r="C5" t="s">
        <v>23</v>
      </c>
      <c r="D5">
        <v>29</v>
      </c>
      <c r="E5" s="3">
        <v>0.27</v>
      </c>
      <c r="F5" s="3">
        <v>0.09</v>
      </c>
      <c r="G5" s="3">
        <v>3.54</v>
      </c>
      <c r="H5" s="3">
        <v>0.43</v>
      </c>
      <c r="I5" s="3">
        <v>1.73</v>
      </c>
    </row>
    <row r="6" spans="1:9" x14ac:dyDescent="0.3">
      <c r="A6" t="s">
        <v>24</v>
      </c>
      <c r="B6" t="s">
        <v>25</v>
      </c>
      <c r="C6" t="s">
        <v>26</v>
      </c>
      <c r="D6">
        <v>33</v>
      </c>
      <c r="E6" s="3">
        <v>0.27</v>
      </c>
      <c r="F6" s="3">
        <v>0.03</v>
      </c>
      <c r="G6" s="3">
        <v>0.92</v>
      </c>
      <c r="H6" s="3">
        <v>0.63</v>
      </c>
      <c r="I6" s="3">
        <v>0.68</v>
      </c>
    </row>
    <row r="7" spans="1:9" x14ac:dyDescent="0.3">
      <c r="A7" t="s">
        <v>27</v>
      </c>
      <c r="B7" t="s">
        <v>511</v>
      </c>
      <c r="C7" t="s">
        <v>17</v>
      </c>
      <c r="D7">
        <v>22</v>
      </c>
      <c r="E7" s="3">
        <v>0.28999999999999998</v>
      </c>
      <c r="F7" s="3">
        <v>0.13</v>
      </c>
      <c r="G7" s="3">
        <v>1.86</v>
      </c>
      <c r="H7" s="3">
        <v>0.52</v>
      </c>
      <c r="I7" s="3">
        <v>0.91</v>
      </c>
    </row>
    <row r="8" spans="1:9" x14ac:dyDescent="0.3">
      <c r="A8" t="s">
        <v>29</v>
      </c>
      <c r="B8" t="s">
        <v>30</v>
      </c>
      <c r="C8" t="s">
        <v>31</v>
      </c>
      <c r="D8">
        <v>18</v>
      </c>
      <c r="E8" s="3">
        <v>0.32</v>
      </c>
      <c r="F8" s="3">
        <v>7.0000000000000007E-2</v>
      </c>
      <c r="G8" s="3">
        <v>2.79</v>
      </c>
      <c r="H8" s="3">
        <v>1.1200000000000001</v>
      </c>
      <c r="I8" s="3">
        <v>2.82</v>
      </c>
    </row>
    <row r="9" spans="1:9" x14ac:dyDescent="0.3">
      <c r="A9" t="s">
        <v>32</v>
      </c>
      <c r="B9" t="s">
        <v>33</v>
      </c>
      <c r="C9" t="s">
        <v>34</v>
      </c>
      <c r="D9">
        <v>60</v>
      </c>
      <c r="E9" s="3">
        <v>0.34</v>
      </c>
      <c r="F9" s="3">
        <v>0.11</v>
      </c>
      <c r="G9" s="3">
        <v>2.2200000000000002</v>
      </c>
      <c r="H9" s="3">
        <v>0.7</v>
      </c>
      <c r="I9" s="3">
        <v>0.99</v>
      </c>
    </row>
    <row r="10" spans="1:9" x14ac:dyDescent="0.3">
      <c r="A10" t="s">
        <v>35</v>
      </c>
      <c r="B10" t="s">
        <v>36</v>
      </c>
      <c r="C10" t="s">
        <v>34</v>
      </c>
      <c r="D10">
        <v>60</v>
      </c>
      <c r="E10" s="3">
        <v>0.38</v>
      </c>
      <c r="F10" s="3">
        <v>0</v>
      </c>
      <c r="G10" s="3">
        <v>5.53</v>
      </c>
      <c r="H10" s="3">
        <v>0.51</v>
      </c>
      <c r="I10" s="3">
        <v>0.78</v>
      </c>
    </row>
    <row r="11" spans="1:9" x14ac:dyDescent="0.3">
      <c r="A11" t="s">
        <v>37</v>
      </c>
      <c r="B11" t="s">
        <v>38</v>
      </c>
      <c r="C11" t="s">
        <v>39</v>
      </c>
      <c r="D11">
        <v>59</v>
      </c>
      <c r="E11" s="3">
        <v>0.39</v>
      </c>
      <c r="F11" s="3">
        <v>0.24</v>
      </c>
      <c r="G11" s="3">
        <v>1.83</v>
      </c>
      <c r="H11" s="3">
        <v>0.71</v>
      </c>
      <c r="I11" s="3">
        <v>1.87</v>
      </c>
    </row>
    <row r="12" spans="1:9" x14ac:dyDescent="0.3">
      <c r="A12" t="s">
        <v>40</v>
      </c>
      <c r="B12" t="s">
        <v>41</v>
      </c>
      <c r="C12" t="s">
        <v>23</v>
      </c>
      <c r="D12">
        <v>45</v>
      </c>
      <c r="E12" s="3">
        <v>0.41</v>
      </c>
      <c r="F12" s="3">
        <v>0.09</v>
      </c>
      <c r="G12" s="3">
        <v>118.2</v>
      </c>
      <c r="H12" s="3">
        <v>0.81</v>
      </c>
      <c r="I12" s="3">
        <v>1.21</v>
      </c>
    </row>
    <row r="13" spans="1:9" x14ac:dyDescent="0.3">
      <c r="A13" t="s">
        <v>42</v>
      </c>
      <c r="B13" t="s">
        <v>43</v>
      </c>
      <c r="C13" t="s">
        <v>34</v>
      </c>
      <c r="D13">
        <v>53</v>
      </c>
      <c r="E13" s="3">
        <v>0.42</v>
      </c>
      <c r="F13" s="3">
        <v>0.17</v>
      </c>
      <c r="G13" s="3">
        <v>2.94</v>
      </c>
      <c r="H13" s="3">
        <v>0.64</v>
      </c>
      <c r="I13" s="3">
        <v>2.99</v>
      </c>
    </row>
    <row r="14" spans="1:9" x14ac:dyDescent="0.3">
      <c r="A14" t="s">
        <v>44</v>
      </c>
      <c r="B14" t="s">
        <v>45</v>
      </c>
      <c r="C14" t="s">
        <v>17</v>
      </c>
      <c r="D14">
        <v>14</v>
      </c>
      <c r="E14" s="3">
        <v>0.43</v>
      </c>
      <c r="F14" s="3">
        <v>0.02</v>
      </c>
      <c r="G14" s="3">
        <v>16.62</v>
      </c>
      <c r="H14" s="3">
        <v>0.89</v>
      </c>
      <c r="I14" s="3">
        <v>2.36</v>
      </c>
    </row>
    <row r="15" spans="1:9" x14ac:dyDescent="0.3">
      <c r="A15" t="s">
        <v>46</v>
      </c>
      <c r="B15" t="s">
        <v>47</v>
      </c>
      <c r="C15" t="s">
        <v>23</v>
      </c>
      <c r="D15">
        <v>2</v>
      </c>
      <c r="E15" s="3">
        <v>0.43</v>
      </c>
      <c r="F15" s="3">
        <v>0.24</v>
      </c>
      <c r="G15" s="3">
        <v>0.63</v>
      </c>
      <c r="H15" s="3">
        <v>1.1599999999999999</v>
      </c>
      <c r="I15" s="3">
        <v>6.86</v>
      </c>
    </row>
    <row r="16" spans="1:9" x14ac:dyDescent="0.3">
      <c r="A16" t="s">
        <v>48</v>
      </c>
      <c r="B16" t="s">
        <v>49</v>
      </c>
      <c r="C16" t="s">
        <v>34</v>
      </c>
      <c r="D16">
        <v>46</v>
      </c>
      <c r="E16" s="3">
        <v>0.49</v>
      </c>
      <c r="F16" s="3">
        <v>7.0000000000000007E-2</v>
      </c>
      <c r="G16" s="3">
        <v>5.55</v>
      </c>
      <c r="H16" s="3">
        <v>0.56999999999999995</v>
      </c>
      <c r="I16" s="3">
        <v>1.31</v>
      </c>
    </row>
    <row r="17" spans="1:9" x14ac:dyDescent="0.3">
      <c r="A17" t="s">
        <v>50</v>
      </c>
      <c r="B17" t="s">
        <v>51</v>
      </c>
      <c r="C17" t="s">
        <v>52</v>
      </c>
      <c r="D17">
        <v>20</v>
      </c>
      <c r="E17" s="3">
        <v>0.51</v>
      </c>
      <c r="F17" s="3">
        <v>0.16</v>
      </c>
      <c r="G17" s="3">
        <v>2.2400000000000002</v>
      </c>
      <c r="H17" s="3">
        <v>0.65</v>
      </c>
      <c r="I17" s="3">
        <v>5.15</v>
      </c>
    </row>
    <row r="18" spans="1:9" x14ac:dyDescent="0.3">
      <c r="A18" t="s">
        <v>53</v>
      </c>
      <c r="B18" t="s">
        <v>54</v>
      </c>
      <c r="C18" t="s">
        <v>34</v>
      </c>
      <c r="D18">
        <v>36</v>
      </c>
      <c r="E18" s="3">
        <v>0.52</v>
      </c>
      <c r="F18" s="3">
        <v>0.3</v>
      </c>
      <c r="G18" s="3">
        <v>1.21</v>
      </c>
      <c r="H18" s="3">
        <v>0.61</v>
      </c>
      <c r="I18" s="3">
        <v>9.89</v>
      </c>
    </row>
    <row r="19" spans="1:9" x14ac:dyDescent="0.3">
      <c r="A19" t="s">
        <v>55</v>
      </c>
      <c r="B19" t="s">
        <v>56</v>
      </c>
      <c r="C19" t="s">
        <v>20</v>
      </c>
      <c r="D19">
        <v>42</v>
      </c>
      <c r="E19" s="3">
        <v>0.56000000000000005</v>
      </c>
      <c r="F19" s="3">
        <v>0.19</v>
      </c>
      <c r="G19" s="3">
        <v>6.86</v>
      </c>
      <c r="H19" s="3">
        <v>10.86</v>
      </c>
      <c r="I19" s="3">
        <v>30.09</v>
      </c>
    </row>
    <row r="20" spans="1:9" x14ac:dyDescent="0.3">
      <c r="A20" t="s">
        <v>57</v>
      </c>
      <c r="B20" t="s">
        <v>58</v>
      </c>
      <c r="C20" t="s">
        <v>34</v>
      </c>
      <c r="D20">
        <v>60</v>
      </c>
      <c r="E20" s="3">
        <v>0.59</v>
      </c>
      <c r="F20" s="3">
        <v>0.06</v>
      </c>
      <c r="G20" s="3">
        <v>8.59</v>
      </c>
      <c r="H20" s="3">
        <v>0.69</v>
      </c>
      <c r="I20" s="3">
        <v>1.85</v>
      </c>
    </row>
    <row r="21" spans="1:9" x14ac:dyDescent="0.3">
      <c r="A21" t="s">
        <v>59</v>
      </c>
      <c r="B21" t="s">
        <v>60</v>
      </c>
      <c r="C21" t="s">
        <v>17</v>
      </c>
      <c r="D21">
        <v>19</v>
      </c>
      <c r="E21" s="3">
        <v>0.59</v>
      </c>
      <c r="F21" s="3">
        <v>0.25</v>
      </c>
      <c r="G21" s="3">
        <v>2.35</v>
      </c>
      <c r="H21" s="3">
        <v>0.46</v>
      </c>
      <c r="I21" s="3">
        <v>0.49</v>
      </c>
    </row>
    <row r="22" spans="1:9" x14ac:dyDescent="0.3">
      <c r="A22" t="s">
        <v>61</v>
      </c>
      <c r="B22" t="s">
        <v>62</v>
      </c>
      <c r="C22" t="s">
        <v>17</v>
      </c>
      <c r="D22">
        <v>60</v>
      </c>
      <c r="E22" s="3">
        <v>0.6</v>
      </c>
      <c r="F22" s="3">
        <v>0.01</v>
      </c>
      <c r="G22" s="3">
        <v>23.75</v>
      </c>
      <c r="H22" s="3">
        <v>1.34</v>
      </c>
      <c r="I22" s="3">
        <v>3.27</v>
      </c>
    </row>
    <row r="23" spans="1:9" x14ac:dyDescent="0.3">
      <c r="A23" t="s">
        <v>63</v>
      </c>
      <c r="B23" t="s">
        <v>64</v>
      </c>
      <c r="C23" t="s">
        <v>26</v>
      </c>
      <c r="D23">
        <v>27</v>
      </c>
      <c r="E23" s="3">
        <v>0.6</v>
      </c>
      <c r="F23" s="3">
        <v>0.18</v>
      </c>
      <c r="G23" s="3">
        <v>6.67</v>
      </c>
      <c r="H23" s="3">
        <v>0.5</v>
      </c>
      <c r="I23" s="3">
        <v>6.19</v>
      </c>
    </row>
    <row r="24" spans="1:9" x14ac:dyDescent="0.3">
      <c r="A24" t="s">
        <v>65</v>
      </c>
      <c r="B24" t="s">
        <v>66</v>
      </c>
      <c r="C24" t="s">
        <v>34</v>
      </c>
      <c r="D24">
        <v>42</v>
      </c>
      <c r="E24" s="3">
        <v>0.6</v>
      </c>
      <c r="F24" s="3">
        <v>0.22</v>
      </c>
      <c r="G24" s="3">
        <v>3.7</v>
      </c>
      <c r="H24" s="3">
        <v>0.74</v>
      </c>
      <c r="I24" s="3">
        <v>0.82</v>
      </c>
    </row>
    <row r="25" spans="1:9" x14ac:dyDescent="0.3">
      <c r="A25" t="s">
        <v>67</v>
      </c>
      <c r="B25" t="s">
        <v>68</v>
      </c>
      <c r="C25" t="s">
        <v>34</v>
      </c>
      <c r="D25">
        <v>35</v>
      </c>
      <c r="E25" s="3">
        <v>0.61</v>
      </c>
      <c r="F25" s="3">
        <v>0.22</v>
      </c>
      <c r="G25" s="3">
        <v>2.66</v>
      </c>
      <c r="H25" s="3">
        <v>0.86</v>
      </c>
      <c r="I25" s="3">
        <v>2.25</v>
      </c>
    </row>
    <row r="26" spans="1:9" x14ac:dyDescent="0.3">
      <c r="A26" t="s">
        <v>69</v>
      </c>
      <c r="B26" t="s">
        <v>70</v>
      </c>
      <c r="C26" t="s">
        <v>14</v>
      </c>
      <c r="D26">
        <v>60</v>
      </c>
      <c r="E26" s="3">
        <v>0.63</v>
      </c>
      <c r="F26" s="3">
        <v>0.05</v>
      </c>
      <c r="G26" s="3">
        <v>2.2599999999999998</v>
      </c>
      <c r="H26" s="3">
        <v>0.72</v>
      </c>
      <c r="I26" s="3">
        <v>2.25</v>
      </c>
    </row>
    <row r="27" spans="1:9" x14ac:dyDescent="0.3">
      <c r="A27" t="s">
        <v>71</v>
      </c>
      <c r="B27" t="s">
        <v>72</v>
      </c>
      <c r="C27" t="s">
        <v>31</v>
      </c>
      <c r="D27">
        <v>60</v>
      </c>
      <c r="E27" s="3">
        <v>0.64</v>
      </c>
      <c r="F27" s="3">
        <v>0.03</v>
      </c>
      <c r="G27" s="3">
        <v>23.02</v>
      </c>
      <c r="H27" s="3">
        <v>0.7</v>
      </c>
      <c r="I27" s="3">
        <v>1.32</v>
      </c>
    </row>
    <row r="28" spans="1:9" x14ac:dyDescent="0.3">
      <c r="A28" t="s">
        <v>73</v>
      </c>
      <c r="B28" t="s">
        <v>74</v>
      </c>
      <c r="C28" t="s">
        <v>26</v>
      </c>
      <c r="D28">
        <v>34</v>
      </c>
      <c r="E28" s="3">
        <v>0.66</v>
      </c>
      <c r="F28" s="3">
        <v>0.17</v>
      </c>
      <c r="G28" s="3">
        <v>3.47</v>
      </c>
      <c r="H28" s="3">
        <v>0.94</v>
      </c>
      <c r="I28" s="3">
        <v>1.56</v>
      </c>
    </row>
    <row r="29" spans="1:9" x14ac:dyDescent="0.3">
      <c r="A29" t="s">
        <v>75</v>
      </c>
      <c r="B29" t="s">
        <v>76</v>
      </c>
      <c r="C29" t="s">
        <v>34</v>
      </c>
      <c r="D29">
        <v>58</v>
      </c>
      <c r="E29" s="3">
        <v>0.68</v>
      </c>
      <c r="F29" s="3">
        <v>0.05</v>
      </c>
      <c r="G29" s="3">
        <v>2.73</v>
      </c>
      <c r="H29" s="3">
        <v>0.09</v>
      </c>
      <c r="I29" s="3">
        <v>0.26</v>
      </c>
    </row>
    <row r="30" spans="1:9" x14ac:dyDescent="0.3">
      <c r="A30" t="s">
        <v>77</v>
      </c>
      <c r="B30" t="s">
        <v>78</v>
      </c>
      <c r="C30" t="s">
        <v>20</v>
      </c>
      <c r="D30">
        <v>46</v>
      </c>
      <c r="E30" s="3">
        <v>0.7</v>
      </c>
      <c r="F30" s="3">
        <v>0.1</v>
      </c>
      <c r="G30" s="3">
        <v>7.62</v>
      </c>
      <c r="H30" s="3">
        <v>0.68</v>
      </c>
      <c r="I30" s="3">
        <v>2.4700000000000002</v>
      </c>
    </row>
    <row r="31" spans="1:9" x14ac:dyDescent="0.3">
      <c r="A31" t="s">
        <v>79</v>
      </c>
      <c r="B31" t="s">
        <v>80</v>
      </c>
      <c r="C31" t="s">
        <v>52</v>
      </c>
      <c r="D31">
        <v>16</v>
      </c>
      <c r="E31" s="3">
        <v>0.74</v>
      </c>
      <c r="F31" s="3">
        <v>0</v>
      </c>
      <c r="G31" s="3">
        <v>2.2200000000000002</v>
      </c>
      <c r="H31" s="3">
        <v>4.7300000000000004</v>
      </c>
      <c r="I31" s="3">
        <v>4.87</v>
      </c>
    </row>
    <row r="32" spans="1:9" x14ac:dyDescent="0.3">
      <c r="A32" t="s">
        <v>81</v>
      </c>
      <c r="B32" t="s">
        <v>82</v>
      </c>
      <c r="C32" t="s">
        <v>17</v>
      </c>
      <c r="D32">
        <v>19</v>
      </c>
      <c r="E32" s="3">
        <v>0.75</v>
      </c>
      <c r="F32" s="3">
        <v>0.14000000000000001</v>
      </c>
      <c r="G32" s="3">
        <v>35.880000000000003</v>
      </c>
      <c r="H32" s="3">
        <v>0.46</v>
      </c>
      <c r="I32" s="3">
        <v>5.93</v>
      </c>
    </row>
    <row r="33" spans="1:9" x14ac:dyDescent="0.3">
      <c r="A33" t="s">
        <v>83</v>
      </c>
      <c r="B33" t="s">
        <v>84</v>
      </c>
      <c r="C33" t="s">
        <v>26</v>
      </c>
      <c r="D33">
        <v>60</v>
      </c>
      <c r="E33" s="3">
        <v>0.75</v>
      </c>
      <c r="F33" s="3">
        <v>0.28000000000000003</v>
      </c>
      <c r="G33" s="3">
        <v>4.3099999999999996</v>
      </c>
      <c r="H33" s="3">
        <v>0.73</v>
      </c>
      <c r="I33" s="3">
        <v>3.71</v>
      </c>
    </row>
    <row r="34" spans="1:9" x14ac:dyDescent="0.3">
      <c r="A34" t="s">
        <v>85</v>
      </c>
      <c r="B34" t="s">
        <v>86</v>
      </c>
      <c r="C34" t="s">
        <v>26</v>
      </c>
      <c r="D34">
        <v>18</v>
      </c>
      <c r="E34" s="3">
        <v>0.75</v>
      </c>
      <c r="F34" s="3">
        <v>0.04</v>
      </c>
      <c r="G34" s="3">
        <v>6.49</v>
      </c>
      <c r="H34" s="3">
        <v>2.48</v>
      </c>
      <c r="I34" s="3">
        <v>0.51</v>
      </c>
    </row>
    <row r="35" spans="1:9" x14ac:dyDescent="0.3">
      <c r="A35" t="s">
        <v>87</v>
      </c>
      <c r="B35" t="s">
        <v>88</v>
      </c>
      <c r="C35" t="s">
        <v>26</v>
      </c>
      <c r="D35">
        <v>11</v>
      </c>
      <c r="E35" s="3">
        <v>0.76</v>
      </c>
      <c r="F35" s="3">
        <v>0.24</v>
      </c>
      <c r="G35" s="3">
        <v>118.2</v>
      </c>
      <c r="H35" s="3">
        <v>0.72</v>
      </c>
      <c r="I35" s="3">
        <v>1.65</v>
      </c>
    </row>
    <row r="36" spans="1:9" x14ac:dyDescent="0.3">
      <c r="A36" t="s">
        <v>89</v>
      </c>
      <c r="B36" t="s">
        <v>90</v>
      </c>
      <c r="C36" t="s">
        <v>17</v>
      </c>
      <c r="D36">
        <v>21</v>
      </c>
      <c r="E36" s="3">
        <v>0.76</v>
      </c>
      <c r="F36" s="3">
        <v>0.22</v>
      </c>
      <c r="G36" s="3">
        <v>13.02</v>
      </c>
      <c r="H36" s="3">
        <v>1.05</v>
      </c>
      <c r="I36" s="3">
        <v>2.5099999999999998</v>
      </c>
    </row>
    <row r="37" spans="1:9" x14ac:dyDescent="0.3">
      <c r="A37" t="s">
        <v>91</v>
      </c>
      <c r="B37" t="s">
        <v>92</v>
      </c>
      <c r="C37" t="s">
        <v>34</v>
      </c>
      <c r="D37">
        <v>35</v>
      </c>
      <c r="E37" s="3">
        <v>0.78</v>
      </c>
      <c r="F37" s="3">
        <v>0</v>
      </c>
      <c r="G37" s="3">
        <v>14.15</v>
      </c>
      <c r="H37" s="3">
        <v>0.78</v>
      </c>
      <c r="I37" s="3">
        <v>0.87</v>
      </c>
    </row>
    <row r="38" spans="1:9" x14ac:dyDescent="0.3">
      <c r="A38" t="s">
        <v>93</v>
      </c>
      <c r="B38" t="s">
        <v>94</v>
      </c>
      <c r="C38" t="s">
        <v>23</v>
      </c>
      <c r="D38">
        <v>34</v>
      </c>
      <c r="E38" s="3">
        <v>0.79</v>
      </c>
      <c r="F38" s="3">
        <v>0</v>
      </c>
      <c r="G38" s="3">
        <v>2.23</v>
      </c>
      <c r="H38" s="3">
        <v>0.8</v>
      </c>
      <c r="I38" s="3">
        <v>1.36</v>
      </c>
    </row>
    <row r="39" spans="1:9" x14ac:dyDescent="0.3">
      <c r="A39" t="s">
        <v>95</v>
      </c>
      <c r="B39" t="s">
        <v>96</v>
      </c>
      <c r="C39" t="s">
        <v>14</v>
      </c>
      <c r="D39">
        <v>42</v>
      </c>
      <c r="E39" s="3">
        <v>0.81</v>
      </c>
      <c r="F39" s="3">
        <v>0.01</v>
      </c>
      <c r="G39" s="3">
        <v>6.29</v>
      </c>
      <c r="H39" s="3">
        <v>0.77</v>
      </c>
      <c r="I39" s="3">
        <v>2.0099999999999998</v>
      </c>
    </row>
    <row r="40" spans="1:9" x14ac:dyDescent="0.3">
      <c r="A40" t="s">
        <v>97</v>
      </c>
      <c r="B40" t="s">
        <v>98</v>
      </c>
      <c r="C40" t="s">
        <v>26</v>
      </c>
      <c r="D40">
        <v>16</v>
      </c>
      <c r="E40" s="3">
        <v>0.82</v>
      </c>
      <c r="F40" s="3">
        <v>0.25</v>
      </c>
      <c r="G40" s="3">
        <v>6.8</v>
      </c>
      <c r="H40" s="3">
        <v>1.08</v>
      </c>
      <c r="I40" s="3">
        <v>2.2200000000000002</v>
      </c>
    </row>
    <row r="41" spans="1:9" x14ac:dyDescent="0.3">
      <c r="A41" t="s">
        <v>99</v>
      </c>
      <c r="B41" t="s">
        <v>100</v>
      </c>
      <c r="C41" t="s">
        <v>34</v>
      </c>
      <c r="D41">
        <v>23</v>
      </c>
      <c r="E41" s="3">
        <v>0.83</v>
      </c>
      <c r="F41" s="3">
        <v>0.1</v>
      </c>
      <c r="G41" s="3">
        <v>2</v>
      </c>
      <c r="H41" s="3">
        <v>1.5</v>
      </c>
      <c r="I41" s="3">
        <v>10.18</v>
      </c>
    </row>
    <row r="42" spans="1:9" x14ac:dyDescent="0.3">
      <c r="A42" t="s">
        <v>101</v>
      </c>
      <c r="B42" t="s">
        <v>102</v>
      </c>
      <c r="C42" t="s">
        <v>34</v>
      </c>
      <c r="D42">
        <v>42</v>
      </c>
      <c r="E42" s="3">
        <v>0.83</v>
      </c>
      <c r="F42" s="3">
        <v>0.33</v>
      </c>
      <c r="G42" s="3">
        <v>1.06</v>
      </c>
      <c r="H42" s="3">
        <v>1.1599999999999999</v>
      </c>
      <c r="I42" s="3">
        <v>1.49</v>
      </c>
    </row>
    <row r="43" spans="1:9" x14ac:dyDescent="0.3">
      <c r="A43" t="s">
        <v>103</v>
      </c>
      <c r="B43" t="s">
        <v>104</v>
      </c>
      <c r="C43" t="s">
        <v>105</v>
      </c>
      <c r="D43">
        <v>13</v>
      </c>
      <c r="E43" s="3">
        <v>0.85</v>
      </c>
      <c r="F43" s="3">
        <v>0.27</v>
      </c>
      <c r="G43" s="3">
        <v>1.9</v>
      </c>
      <c r="H43" s="3">
        <v>2.74</v>
      </c>
      <c r="I43" s="3">
        <v>1.25</v>
      </c>
    </row>
    <row r="44" spans="1:9" x14ac:dyDescent="0.3">
      <c r="A44" t="s">
        <v>106</v>
      </c>
      <c r="B44" t="s">
        <v>107</v>
      </c>
      <c r="C44" t="s">
        <v>26</v>
      </c>
      <c r="D44">
        <v>60</v>
      </c>
      <c r="E44" s="3">
        <v>0.88</v>
      </c>
      <c r="F44" s="3">
        <v>0.03</v>
      </c>
      <c r="G44" s="3">
        <v>5.25</v>
      </c>
      <c r="H44" s="3">
        <v>1.39</v>
      </c>
      <c r="I44" s="3">
        <v>7.91</v>
      </c>
    </row>
    <row r="45" spans="1:9" x14ac:dyDescent="0.3">
      <c r="A45" t="s">
        <v>108</v>
      </c>
      <c r="B45" t="s">
        <v>109</v>
      </c>
      <c r="C45" t="s">
        <v>52</v>
      </c>
      <c r="D45">
        <v>25</v>
      </c>
      <c r="E45" s="3">
        <v>0.88</v>
      </c>
      <c r="F45" s="3">
        <v>0.44</v>
      </c>
      <c r="G45" s="3">
        <v>5.5</v>
      </c>
      <c r="H45" s="3">
        <v>0.99</v>
      </c>
      <c r="I45" s="3">
        <v>1.18</v>
      </c>
    </row>
    <row r="46" spans="1:9" x14ac:dyDescent="0.3">
      <c r="A46" t="s">
        <v>110</v>
      </c>
      <c r="B46" t="s">
        <v>111</v>
      </c>
      <c r="C46" t="s">
        <v>52</v>
      </c>
      <c r="D46">
        <v>24</v>
      </c>
      <c r="E46" s="3">
        <v>0.88</v>
      </c>
      <c r="F46" s="3">
        <v>0.44</v>
      </c>
      <c r="G46" s="3">
        <v>5.5</v>
      </c>
      <c r="H46" s="3">
        <v>0.99</v>
      </c>
      <c r="I46" s="3">
        <v>1.66</v>
      </c>
    </row>
    <row r="47" spans="1:9" x14ac:dyDescent="0.3">
      <c r="A47" t="s">
        <v>112</v>
      </c>
      <c r="B47" t="s">
        <v>113</v>
      </c>
      <c r="C47" t="s">
        <v>34</v>
      </c>
      <c r="D47">
        <v>60</v>
      </c>
      <c r="E47" s="3">
        <v>0.89</v>
      </c>
      <c r="F47" s="3">
        <v>0.12</v>
      </c>
      <c r="G47" s="3">
        <v>7.26</v>
      </c>
      <c r="H47" s="3">
        <v>1.1200000000000001</v>
      </c>
      <c r="I47" s="3">
        <v>1.66</v>
      </c>
    </row>
    <row r="48" spans="1:9" x14ac:dyDescent="0.3">
      <c r="A48" t="s">
        <v>114</v>
      </c>
      <c r="B48" t="s">
        <v>115</v>
      </c>
      <c r="C48" t="s">
        <v>105</v>
      </c>
      <c r="D48">
        <v>9</v>
      </c>
      <c r="E48" s="3">
        <v>0.89</v>
      </c>
      <c r="F48" s="3">
        <v>0.49</v>
      </c>
      <c r="G48" s="3">
        <v>3.55</v>
      </c>
      <c r="H48" s="3">
        <v>2.42</v>
      </c>
      <c r="I48" s="3">
        <v>6.06</v>
      </c>
    </row>
    <row r="49" spans="1:9" x14ac:dyDescent="0.3">
      <c r="A49" t="s">
        <v>116</v>
      </c>
      <c r="B49" t="s">
        <v>117</v>
      </c>
      <c r="C49" t="s">
        <v>26</v>
      </c>
      <c r="D49">
        <v>44</v>
      </c>
      <c r="E49" s="3">
        <v>0.9</v>
      </c>
      <c r="F49" s="3">
        <v>0.6</v>
      </c>
      <c r="G49" s="3">
        <v>7.22</v>
      </c>
      <c r="H49" s="3">
        <v>2.75</v>
      </c>
      <c r="I49" s="3">
        <v>1.71</v>
      </c>
    </row>
    <row r="50" spans="1:9" x14ac:dyDescent="0.3">
      <c r="A50" t="s">
        <v>118</v>
      </c>
      <c r="B50" t="s">
        <v>119</v>
      </c>
      <c r="C50" t="s">
        <v>39</v>
      </c>
      <c r="D50">
        <v>58</v>
      </c>
      <c r="E50" s="3">
        <v>0.92</v>
      </c>
      <c r="F50" s="3">
        <v>0.18</v>
      </c>
      <c r="G50" s="3">
        <v>2.72</v>
      </c>
      <c r="H50" s="3">
        <v>1.01</v>
      </c>
      <c r="I50" s="3">
        <v>3.5</v>
      </c>
    </row>
    <row r="51" spans="1:9" x14ac:dyDescent="0.3">
      <c r="A51" t="s">
        <v>120</v>
      </c>
      <c r="B51" t="s">
        <v>121</v>
      </c>
      <c r="C51" t="s">
        <v>26</v>
      </c>
      <c r="D51">
        <v>35</v>
      </c>
      <c r="E51" s="3">
        <v>0.94</v>
      </c>
      <c r="F51" s="3">
        <v>0.3</v>
      </c>
      <c r="G51" s="3">
        <v>6.02</v>
      </c>
      <c r="H51" s="3">
        <v>3.3</v>
      </c>
      <c r="I51" s="3">
        <v>3.28</v>
      </c>
    </row>
    <row r="52" spans="1:9" x14ac:dyDescent="0.3">
      <c r="A52" t="s">
        <v>122</v>
      </c>
      <c r="B52" t="s">
        <v>123</v>
      </c>
      <c r="C52" t="s">
        <v>124</v>
      </c>
      <c r="D52">
        <v>30</v>
      </c>
      <c r="E52" s="3">
        <v>0.94</v>
      </c>
      <c r="F52" s="3">
        <v>0.02</v>
      </c>
      <c r="G52" s="3">
        <v>2.82</v>
      </c>
      <c r="H52" s="3">
        <v>1.71</v>
      </c>
      <c r="I52" s="3">
        <v>65.83</v>
      </c>
    </row>
    <row r="53" spans="1:9" x14ac:dyDescent="0.3">
      <c r="A53" t="s">
        <v>125</v>
      </c>
      <c r="B53" t="s">
        <v>512</v>
      </c>
      <c r="C53" t="s">
        <v>31</v>
      </c>
      <c r="D53">
        <v>18</v>
      </c>
      <c r="E53" s="3">
        <v>0.96</v>
      </c>
      <c r="F53" s="3">
        <v>0.48</v>
      </c>
      <c r="G53" s="3">
        <v>9.6</v>
      </c>
      <c r="H53" s="3">
        <v>1.75</v>
      </c>
      <c r="I53" s="3">
        <v>3.62</v>
      </c>
    </row>
    <row r="54" spans="1:9" x14ac:dyDescent="0.3">
      <c r="A54" t="s">
        <v>127</v>
      </c>
      <c r="B54" t="s">
        <v>128</v>
      </c>
      <c r="C54" t="s">
        <v>23</v>
      </c>
      <c r="D54">
        <v>18</v>
      </c>
      <c r="E54" s="3">
        <v>0.97</v>
      </c>
      <c r="F54" s="3">
        <v>0.26</v>
      </c>
      <c r="G54" s="3">
        <v>1.63</v>
      </c>
      <c r="H54" s="3">
        <v>2.14</v>
      </c>
      <c r="I54" s="3">
        <v>1.1599999999999999</v>
      </c>
    </row>
    <row r="55" spans="1:9" x14ac:dyDescent="0.3">
      <c r="A55" t="s">
        <v>129</v>
      </c>
      <c r="B55" t="s">
        <v>130</v>
      </c>
      <c r="C55" t="s">
        <v>34</v>
      </c>
      <c r="D55">
        <v>35</v>
      </c>
      <c r="E55" s="3">
        <v>1.02</v>
      </c>
      <c r="F55" s="3">
        <v>0.38</v>
      </c>
      <c r="G55" s="3">
        <v>2.12</v>
      </c>
      <c r="H55" s="3">
        <v>1.55</v>
      </c>
      <c r="I55" s="3">
        <v>1.6</v>
      </c>
    </row>
    <row r="56" spans="1:9" x14ac:dyDescent="0.3">
      <c r="A56" t="s">
        <v>131</v>
      </c>
      <c r="B56" t="s">
        <v>132</v>
      </c>
      <c r="C56" t="s">
        <v>52</v>
      </c>
      <c r="D56">
        <v>40</v>
      </c>
      <c r="E56" s="3">
        <v>1.04</v>
      </c>
      <c r="F56" s="3">
        <v>0.02</v>
      </c>
      <c r="G56" s="3">
        <v>2.38</v>
      </c>
      <c r="H56" s="3">
        <v>1.0900000000000001</v>
      </c>
      <c r="I56" s="3">
        <v>1.49</v>
      </c>
    </row>
    <row r="57" spans="1:9" x14ac:dyDescent="0.3">
      <c r="A57" t="s">
        <v>133</v>
      </c>
      <c r="B57" t="s">
        <v>134</v>
      </c>
      <c r="C57" t="s">
        <v>39</v>
      </c>
      <c r="D57">
        <v>19</v>
      </c>
      <c r="E57" s="3">
        <v>1.06</v>
      </c>
      <c r="F57" s="3">
        <v>0.63</v>
      </c>
      <c r="G57" s="3">
        <v>3</v>
      </c>
      <c r="H57" s="3">
        <v>3.24</v>
      </c>
      <c r="I57" s="3">
        <v>6.93</v>
      </c>
    </row>
    <row r="58" spans="1:9" x14ac:dyDescent="0.3">
      <c r="A58" t="s">
        <v>135</v>
      </c>
      <c r="B58" t="s">
        <v>136</v>
      </c>
      <c r="C58" t="s">
        <v>34</v>
      </c>
      <c r="D58">
        <v>60</v>
      </c>
      <c r="E58" s="3">
        <v>1.06</v>
      </c>
      <c r="F58" s="3">
        <v>0.34</v>
      </c>
      <c r="G58" s="3">
        <v>10.32</v>
      </c>
      <c r="H58" s="3">
        <v>1.23</v>
      </c>
      <c r="I58" s="3">
        <v>2.78</v>
      </c>
    </row>
    <row r="59" spans="1:9" x14ac:dyDescent="0.3">
      <c r="A59" t="s">
        <v>137</v>
      </c>
      <c r="B59" t="s">
        <v>138</v>
      </c>
      <c r="C59" t="s">
        <v>23</v>
      </c>
      <c r="D59">
        <v>3</v>
      </c>
      <c r="E59" s="3">
        <v>1.08</v>
      </c>
      <c r="F59" s="3">
        <v>0.84</v>
      </c>
      <c r="G59" s="3">
        <v>2.37</v>
      </c>
      <c r="H59" s="3">
        <v>0.98</v>
      </c>
      <c r="I59" s="3">
        <v>1.21</v>
      </c>
    </row>
    <row r="60" spans="1:9" x14ac:dyDescent="0.3">
      <c r="A60" t="s">
        <v>139</v>
      </c>
      <c r="B60" t="s">
        <v>140</v>
      </c>
      <c r="C60" t="s">
        <v>52</v>
      </c>
      <c r="D60">
        <v>25</v>
      </c>
      <c r="E60" s="3">
        <v>1.0900000000000001</v>
      </c>
      <c r="F60" s="3">
        <v>0.33</v>
      </c>
      <c r="G60" s="3">
        <v>3.63</v>
      </c>
      <c r="H60" s="3">
        <v>1.37</v>
      </c>
      <c r="I60" s="3">
        <v>3.67</v>
      </c>
    </row>
    <row r="61" spans="1:9" x14ac:dyDescent="0.3">
      <c r="A61" t="s">
        <v>141</v>
      </c>
      <c r="B61" t="s">
        <v>142</v>
      </c>
      <c r="C61" t="s">
        <v>34</v>
      </c>
      <c r="D61">
        <v>35</v>
      </c>
      <c r="E61" s="3">
        <v>1.0900000000000001</v>
      </c>
      <c r="F61" s="3">
        <v>0.25</v>
      </c>
      <c r="G61" s="3">
        <v>74.319999999999993</v>
      </c>
      <c r="H61" s="3">
        <v>2.4700000000000002</v>
      </c>
      <c r="I61" s="3">
        <v>2.87</v>
      </c>
    </row>
    <row r="62" spans="1:9" x14ac:dyDescent="0.3">
      <c r="A62" t="s">
        <v>143</v>
      </c>
      <c r="B62" t="s">
        <v>144</v>
      </c>
      <c r="C62" t="s">
        <v>26</v>
      </c>
      <c r="D62">
        <v>7</v>
      </c>
      <c r="E62" s="3">
        <v>1.1200000000000001</v>
      </c>
      <c r="F62" s="3">
        <v>0.47</v>
      </c>
      <c r="G62" s="3">
        <v>28.01</v>
      </c>
      <c r="H62" s="3">
        <v>1.1200000000000001</v>
      </c>
      <c r="I62" s="3">
        <v>37.92</v>
      </c>
    </row>
    <row r="63" spans="1:9" x14ac:dyDescent="0.3">
      <c r="A63" t="s">
        <v>145</v>
      </c>
      <c r="B63" t="s">
        <v>146</v>
      </c>
      <c r="C63" t="s">
        <v>26</v>
      </c>
      <c r="D63">
        <v>60</v>
      </c>
      <c r="E63" s="3">
        <v>1.1299999999999999</v>
      </c>
      <c r="F63" s="3">
        <v>0.01</v>
      </c>
      <c r="G63" s="3">
        <v>6.8</v>
      </c>
      <c r="H63" s="3">
        <v>1.36</v>
      </c>
      <c r="I63" s="3">
        <v>2.25</v>
      </c>
    </row>
    <row r="64" spans="1:9" x14ac:dyDescent="0.3">
      <c r="A64" t="s">
        <v>147</v>
      </c>
      <c r="B64" t="s">
        <v>148</v>
      </c>
      <c r="C64" t="s">
        <v>14</v>
      </c>
      <c r="D64">
        <v>33</v>
      </c>
      <c r="E64" s="3">
        <v>1.1399999999999999</v>
      </c>
      <c r="F64" s="3">
        <v>0.68</v>
      </c>
      <c r="G64" s="3">
        <v>27.35</v>
      </c>
      <c r="H64" s="3">
        <v>4.2</v>
      </c>
      <c r="I64" s="3">
        <v>8</v>
      </c>
    </row>
    <row r="65" spans="1:9" x14ac:dyDescent="0.3">
      <c r="A65" t="s">
        <v>149</v>
      </c>
      <c r="B65" t="s">
        <v>150</v>
      </c>
      <c r="C65" t="s">
        <v>39</v>
      </c>
      <c r="D65">
        <v>49</v>
      </c>
      <c r="E65" s="3">
        <v>1.1499999999999999</v>
      </c>
      <c r="F65" s="3">
        <v>0.85</v>
      </c>
      <c r="G65" s="3">
        <v>15.58</v>
      </c>
      <c r="H65" s="3">
        <v>2.13</v>
      </c>
      <c r="I65" s="3">
        <v>2.48</v>
      </c>
    </row>
    <row r="66" spans="1:9" x14ac:dyDescent="0.3">
      <c r="A66" t="s">
        <v>151</v>
      </c>
      <c r="B66" t="s">
        <v>152</v>
      </c>
      <c r="C66" t="s">
        <v>23</v>
      </c>
      <c r="D66">
        <v>60</v>
      </c>
      <c r="E66" s="3">
        <v>1.17</v>
      </c>
      <c r="F66" s="3">
        <v>0.24</v>
      </c>
      <c r="G66" s="3">
        <v>23.43</v>
      </c>
      <c r="H66" s="3">
        <v>1.08</v>
      </c>
      <c r="I66" s="3">
        <v>1.88</v>
      </c>
    </row>
    <row r="67" spans="1:9" x14ac:dyDescent="0.3">
      <c r="A67" t="s">
        <v>153</v>
      </c>
      <c r="B67" t="s">
        <v>154</v>
      </c>
      <c r="C67" t="s">
        <v>31</v>
      </c>
      <c r="D67">
        <v>16</v>
      </c>
      <c r="E67" s="3">
        <v>1.18</v>
      </c>
      <c r="F67" s="3">
        <v>0.11</v>
      </c>
      <c r="G67" s="3">
        <v>11.83</v>
      </c>
      <c r="H67" s="3">
        <v>1.03</v>
      </c>
      <c r="I67" s="3">
        <v>1.89</v>
      </c>
    </row>
    <row r="68" spans="1:9" x14ac:dyDescent="0.3">
      <c r="A68" t="s">
        <v>155</v>
      </c>
      <c r="B68" t="s">
        <v>156</v>
      </c>
      <c r="C68" t="s">
        <v>23</v>
      </c>
      <c r="D68">
        <v>20</v>
      </c>
      <c r="E68" s="3">
        <v>1.23</v>
      </c>
      <c r="F68" s="3">
        <v>0.16</v>
      </c>
      <c r="G68" s="3">
        <v>17.29</v>
      </c>
      <c r="H68" s="3">
        <v>1.46</v>
      </c>
      <c r="I68" s="3">
        <v>3.78</v>
      </c>
    </row>
    <row r="69" spans="1:9" x14ac:dyDescent="0.3">
      <c r="A69" t="s">
        <v>157</v>
      </c>
      <c r="B69" t="s">
        <v>158</v>
      </c>
      <c r="C69" t="s">
        <v>23</v>
      </c>
      <c r="D69">
        <v>44</v>
      </c>
      <c r="E69" s="3">
        <v>1.24</v>
      </c>
      <c r="F69" s="3">
        <v>0.56999999999999995</v>
      </c>
      <c r="G69" s="3">
        <v>57.98</v>
      </c>
      <c r="H69" s="3">
        <v>1.81</v>
      </c>
      <c r="I69" s="3">
        <v>0.56000000000000005</v>
      </c>
    </row>
    <row r="70" spans="1:9" x14ac:dyDescent="0.3">
      <c r="A70" t="s">
        <v>159</v>
      </c>
      <c r="B70" t="s">
        <v>160</v>
      </c>
      <c r="C70" t="s">
        <v>26</v>
      </c>
      <c r="D70">
        <v>47</v>
      </c>
      <c r="E70" s="3">
        <v>1.25</v>
      </c>
      <c r="F70" s="3">
        <v>0.35</v>
      </c>
      <c r="G70" s="3">
        <v>23.1</v>
      </c>
      <c r="H70" s="3">
        <v>1.48</v>
      </c>
      <c r="I70" s="3">
        <v>3.79</v>
      </c>
    </row>
    <row r="71" spans="1:9" x14ac:dyDescent="0.3">
      <c r="A71" t="s">
        <v>161</v>
      </c>
      <c r="B71" t="s">
        <v>162</v>
      </c>
      <c r="C71" t="s">
        <v>20</v>
      </c>
      <c r="D71">
        <v>2</v>
      </c>
      <c r="E71" s="3">
        <v>1.28</v>
      </c>
      <c r="F71" s="3">
        <v>1.0900000000000001</v>
      </c>
      <c r="G71" s="3">
        <v>1.46</v>
      </c>
      <c r="H71" s="3">
        <v>3.41</v>
      </c>
      <c r="I71" s="3">
        <v>2.92</v>
      </c>
    </row>
    <row r="72" spans="1:9" x14ac:dyDescent="0.3">
      <c r="A72" t="s">
        <v>163</v>
      </c>
      <c r="B72" t="s">
        <v>164</v>
      </c>
      <c r="C72" t="s">
        <v>26</v>
      </c>
      <c r="D72">
        <v>22</v>
      </c>
      <c r="E72" s="3">
        <v>1.28</v>
      </c>
      <c r="F72" s="3">
        <v>0.47</v>
      </c>
      <c r="G72" s="3">
        <v>12.04</v>
      </c>
      <c r="H72" s="3">
        <v>3.3</v>
      </c>
      <c r="I72" s="3">
        <v>25.52</v>
      </c>
    </row>
    <row r="73" spans="1:9" x14ac:dyDescent="0.3">
      <c r="A73" t="s">
        <v>165</v>
      </c>
      <c r="B73" t="s">
        <v>166</v>
      </c>
      <c r="C73" t="s">
        <v>31</v>
      </c>
      <c r="D73">
        <v>38</v>
      </c>
      <c r="E73" s="3">
        <v>1.3</v>
      </c>
      <c r="F73" s="3">
        <v>0.17</v>
      </c>
      <c r="G73" s="3">
        <v>14.09</v>
      </c>
      <c r="H73" s="3">
        <v>1.6</v>
      </c>
      <c r="I73" s="3">
        <v>4.83</v>
      </c>
    </row>
    <row r="74" spans="1:9" x14ac:dyDescent="0.3">
      <c r="A74" t="s">
        <v>167</v>
      </c>
      <c r="B74" t="s">
        <v>168</v>
      </c>
      <c r="C74" t="s">
        <v>23</v>
      </c>
      <c r="D74">
        <v>18</v>
      </c>
      <c r="E74" s="3">
        <v>1.32</v>
      </c>
      <c r="F74" s="3">
        <v>0.54</v>
      </c>
      <c r="G74" s="3">
        <v>17.14</v>
      </c>
      <c r="H74" s="3">
        <v>1.71</v>
      </c>
      <c r="I74" s="3">
        <v>3.82</v>
      </c>
    </row>
    <row r="75" spans="1:9" x14ac:dyDescent="0.3">
      <c r="A75" t="s">
        <v>169</v>
      </c>
      <c r="B75" t="s">
        <v>170</v>
      </c>
      <c r="C75" t="s">
        <v>124</v>
      </c>
      <c r="D75">
        <v>25</v>
      </c>
      <c r="E75" s="3">
        <v>1.33</v>
      </c>
      <c r="F75" s="3">
        <v>0.5</v>
      </c>
      <c r="G75" s="3">
        <v>7.5</v>
      </c>
      <c r="H75" s="3">
        <v>1.45</v>
      </c>
      <c r="I75" s="3">
        <v>4.55</v>
      </c>
    </row>
    <row r="76" spans="1:9" x14ac:dyDescent="0.3">
      <c r="A76" t="s">
        <v>171</v>
      </c>
      <c r="B76" t="s">
        <v>172</v>
      </c>
      <c r="C76" t="s">
        <v>173</v>
      </c>
      <c r="D76">
        <v>23</v>
      </c>
      <c r="E76" s="3">
        <v>1.38</v>
      </c>
      <c r="F76" s="3">
        <v>0.09</v>
      </c>
      <c r="G76" s="3">
        <v>17.75</v>
      </c>
      <c r="H76" s="3">
        <v>1.85</v>
      </c>
      <c r="I76" s="3">
        <v>2.06</v>
      </c>
    </row>
    <row r="77" spans="1:9" x14ac:dyDescent="0.3">
      <c r="A77" t="s">
        <v>174</v>
      </c>
      <c r="B77" t="s">
        <v>175</v>
      </c>
      <c r="C77" t="s">
        <v>173</v>
      </c>
      <c r="D77">
        <v>34</v>
      </c>
      <c r="E77" s="3">
        <v>1.39</v>
      </c>
      <c r="F77" s="3">
        <v>0.35</v>
      </c>
      <c r="G77" s="3">
        <v>18.93</v>
      </c>
      <c r="H77" s="3">
        <v>1.27</v>
      </c>
      <c r="I77" s="3">
        <v>3.67</v>
      </c>
    </row>
    <row r="78" spans="1:9" x14ac:dyDescent="0.3">
      <c r="A78" t="s">
        <v>176</v>
      </c>
      <c r="B78" t="s">
        <v>177</v>
      </c>
      <c r="C78" t="s">
        <v>14</v>
      </c>
      <c r="D78">
        <v>42</v>
      </c>
      <c r="E78" s="3">
        <v>1.41</v>
      </c>
      <c r="F78" s="3">
        <v>0.24</v>
      </c>
      <c r="G78" s="3">
        <v>7.05</v>
      </c>
      <c r="H78" s="3">
        <v>1.03</v>
      </c>
      <c r="I78" s="3">
        <v>1.79</v>
      </c>
    </row>
    <row r="79" spans="1:9" x14ac:dyDescent="0.3">
      <c r="A79" t="s">
        <v>178</v>
      </c>
      <c r="B79" t="s">
        <v>179</v>
      </c>
      <c r="C79" t="s">
        <v>23</v>
      </c>
      <c r="D79">
        <v>60</v>
      </c>
      <c r="E79" s="3">
        <v>1.42</v>
      </c>
      <c r="F79" s="3">
        <v>0.11</v>
      </c>
      <c r="G79" s="3">
        <v>71.290000000000006</v>
      </c>
      <c r="H79" s="3">
        <v>1.39</v>
      </c>
      <c r="I79" s="3">
        <v>6.66</v>
      </c>
    </row>
    <row r="80" spans="1:9" x14ac:dyDescent="0.3">
      <c r="A80" t="s">
        <v>180</v>
      </c>
      <c r="B80" t="s">
        <v>181</v>
      </c>
      <c r="C80" t="s">
        <v>23</v>
      </c>
      <c r="D80">
        <v>12</v>
      </c>
      <c r="E80" s="3">
        <v>1.42</v>
      </c>
      <c r="F80" s="3">
        <v>0.13</v>
      </c>
      <c r="G80" s="3">
        <v>11.64</v>
      </c>
      <c r="H80" s="3">
        <v>1.36</v>
      </c>
      <c r="I80" s="3">
        <v>3.95</v>
      </c>
    </row>
    <row r="81" spans="1:9" x14ac:dyDescent="0.3">
      <c r="A81" t="s">
        <v>182</v>
      </c>
      <c r="B81" t="s">
        <v>183</v>
      </c>
      <c r="C81" t="s">
        <v>23</v>
      </c>
      <c r="D81">
        <v>58</v>
      </c>
      <c r="E81" s="3">
        <v>1.45</v>
      </c>
      <c r="F81" s="3">
        <v>0.2</v>
      </c>
      <c r="G81" s="3">
        <v>75.08</v>
      </c>
      <c r="H81" s="3">
        <v>2.0699999999999998</v>
      </c>
      <c r="I81" s="3">
        <v>3.66</v>
      </c>
    </row>
    <row r="82" spans="1:9" x14ac:dyDescent="0.3">
      <c r="A82" t="s">
        <v>184</v>
      </c>
      <c r="B82" t="s">
        <v>185</v>
      </c>
      <c r="C82" t="s">
        <v>23</v>
      </c>
      <c r="D82">
        <v>14</v>
      </c>
      <c r="E82" s="3">
        <v>1.46</v>
      </c>
      <c r="F82" s="3">
        <v>0.16</v>
      </c>
      <c r="G82" s="3">
        <v>54.84</v>
      </c>
      <c r="H82" s="3">
        <v>1.24</v>
      </c>
      <c r="I82" s="3">
        <v>3.05</v>
      </c>
    </row>
    <row r="83" spans="1:9" x14ac:dyDescent="0.3">
      <c r="A83" t="s">
        <v>186</v>
      </c>
      <c r="B83" t="s">
        <v>187</v>
      </c>
      <c r="C83" t="s">
        <v>14</v>
      </c>
      <c r="D83">
        <v>60</v>
      </c>
      <c r="E83" s="3">
        <v>1.47</v>
      </c>
      <c r="F83" s="3">
        <v>0.33</v>
      </c>
      <c r="G83" s="3">
        <v>13.33</v>
      </c>
      <c r="H83" s="3">
        <v>2.12</v>
      </c>
      <c r="I83" s="3">
        <v>5.62</v>
      </c>
    </row>
    <row r="84" spans="1:9" x14ac:dyDescent="0.3">
      <c r="A84" t="s">
        <v>188</v>
      </c>
      <c r="B84" t="s">
        <v>189</v>
      </c>
      <c r="C84" t="s">
        <v>39</v>
      </c>
      <c r="D84">
        <v>35</v>
      </c>
      <c r="E84" s="3">
        <v>1.51</v>
      </c>
      <c r="F84" s="3">
        <v>0.1</v>
      </c>
      <c r="G84" s="3">
        <v>6.33</v>
      </c>
      <c r="H84" s="3">
        <v>1.58</v>
      </c>
      <c r="I84" s="3">
        <v>2.8</v>
      </c>
    </row>
    <row r="85" spans="1:9" x14ac:dyDescent="0.3">
      <c r="A85" t="s">
        <v>190</v>
      </c>
      <c r="B85" t="s">
        <v>191</v>
      </c>
      <c r="C85" t="s">
        <v>105</v>
      </c>
      <c r="D85">
        <v>22</v>
      </c>
      <c r="E85" s="3">
        <v>1.51</v>
      </c>
      <c r="F85" s="3">
        <v>0.33</v>
      </c>
      <c r="G85" s="3">
        <v>18.170000000000002</v>
      </c>
      <c r="H85" s="3">
        <v>0.74</v>
      </c>
      <c r="I85" s="3">
        <v>1.28</v>
      </c>
    </row>
    <row r="86" spans="1:9" x14ac:dyDescent="0.3">
      <c r="A86" t="s">
        <v>192</v>
      </c>
      <c r="B86" t="s">
        <v>193</v>
      </c>
      <c r="C86" t="s">
        <v>34</v>
      </c>
      <c r="D86">
        <v>52</v>
      </c>
      <c r="E86" s="3">
        <v>1.52</v>
      </c>
      <c r="F86" s="3">
        <v>0.22</v>
      </c>
      <c r="G86" s="3">
        <v>6.21</v>
      </c>
      <c r="H86" s="3">
        <v>0.75</v>
      </c>
      <c r="I86" s="3">
        <v>1.88</v>
      </c>
    </row>
    <row r="87" spans="1:9" x14ac:dyDescent="0.3">
      <c r="A87" t="s">
        <v>194</v>
      </c>
      <c r="B87" t="s">
        <v>195</v>
      </c>
      <c r="C87" t="s">
        <v>26</v>
      </c>
      <c r="D87">
        <v>60</v>
      </c>
      <c r="E87" s="3">
        <v>1.56</v>
      </c>
      <c r="F87" s="3">
        <v>0.45</v>
      </c>
      <c r="G87" s="3">
        <v>22.71</v>
      </c>
      <c r="H87" s="3">
        <v>1.62</v>
      </c>
      <c r="I87" s="3">
        <v>5.0199999999999996</v>
      </c>
    </row>
    <row r="88" spans="1:9" x14ac:dyDescent="0.3">
      <c r="A88" t="s">
        <v>196</v>
      </c>
      <c r="B88" t="s">
        <v>197</v>
      </c>
      <c r="C88" t="s">
        <v>124</v>
      </c>
      <c r="D88">
        <v>22</v>
      </c>
      <c r="E88" s="3">
        <v>1.56</v>
      </c>
      <c r="F88" s="3">
        <v>0.69</v>
      </c>
      <c r="G88" s="3">
        <v>50</v>
      </c>
      <c r="H88" s="3">
        <v>3.12</v>
      </c>
      <c r="I88" s="3">
        <v>4.6900000000000004</v>
      </c>
    </row>
    <row r="89" spans="1:9" x14ac:dyDescent="0.3">
      <c r="A89" t="s">
        <v>198</v>
      </c>
      <c r="B89" t="s">
        <v>199</v>
      </c>
      <c r="C89" t="s">
        <v>39</v>
      </c>
      <c r="D89">
        <v>9</v>
      </c>
      <c r="E89" s="3">
        <v>1.58</v>
      </c>
      <c r="F89" s="3">
        <v>0.82</v>
      </c>
      <c r="G89" s="3">
        <v>5.91</v>
      </c>
      <c r="H89" s="3">
        <v>3.61</v>
      </c>
      <c r="I89" s="3">
        <v>13.41</v>
      </c>
    </row>
    <row r="90" spans="1:9" x14ac:dyDescent="0.3">
      <c r="A90" t="s">
        <v>200</v>
      </c>
      <c r="B90" t="s">
        <v>201</v>
      </c>
      <c r="C90" t="s">
        <v>26</v>
      </c>
      <c r="D90">
        <v>20</v>
      </c>
      <c r="E90" s="3">
        <v>1.61</v>
      </c>
      <c r="F90" s="3">
        <v>1.03</v>
      </c>
      <c r="G90" s="3">
        <v>3.21</v>
      </c>
      <c r="H90" s="3">
        <v>5.29</v>
      </c>
      <c r="I90" s="3">
        <v>7.95</v>
      </c>
    </row>
    <row r="91" spans="1:9" x14ac:dyDescent="0.3">
      <c r="A91" t="s">
        <v>202</v>
      </c>
      <c r="B91" t="s">
        <v>203</v>
      </c>
      <c r="C91" t="s">
        <v>20</v>
      </c>
      <c r="D91">
        <v>6</v>
      </c>
      <c r="E91" s="3">
        <v>1.67</v>
      </c>
      <c r="F91" s="3">
        <v>1</v>
      </c>
      <c r="G91" s="3">
        <v>2.5</v>
      </c>
      <c r="H91" s="3">
        <v>2.5</v>
      </c>
      <c r="I91" s="3">
        <v>8.34</v>
      </c>
    </row>
    <row r="92" spans="1:9" x14ac:dyDescent="0.3">
      <c r="A92" t="s">
        <v>204</v>
      </c>
      <c r="B92" t="s">
        <v>513</v>
      </c>
      <c r="C92" t="s">
        <v>34</v>
      </c>
      <c r="D92">
        <v>15</v>
      </c>
      <c r="E92" s="3">
        <v>1.67</v>
      </c>
      <c r="F92" s="3">
        <v>0.83</v>
      </c>
      <c r="G92" s="3">
        <v>2.5</v>
      </c>
      <c r="H92" s="3">
        <v>2.08</v>
      </c>
      <c r="I92" s="3">
        <v>4.4800000000000004</v>
      </c>
    </row>
    <row r="93" spans="1:9" x14ac:dyDescent="0.3">
      <c r="A93" t="s">
        <v>206</v>
      </c>
      <c r="B93" t="s">
        <v>207</v>
      </c>
      <c r="C93" t="s">
        <v>31</v>
      </c>
      <c r="D93">
        <v>21</v>
      </c>
      <c r="E93" s="3">
        <v>1.7</v>
      </c>
      <c r="F93" s="3">
        <v>0.16</v>
      </c>
      <c r="G93" s="3">
        <v>8.0399999999999991</v>
      </c>
      <c r="H93" s="3">
        <v>5.32</v>
      </c>
      <c r="I93" s="3">
        <v>2.91</v>
      </c>
    </row>
    <row r="94" spans="1:9" x14ac:dyDescent="0.3">
      <c r="A94" t="s">
        <v>208</v>
      </c>
      <c r="B94" t="s">
        <v>514</v>
      </c>
      <c r="C94" t="s">
        <v>14</v>
      </c>
      <c r="D94">
        <v>17</v>
      </c>
      <c r="E94" s="3">
        <v>1.71</v>
      </c>
      <c r="F94" s="3">
        <v>0.46</v>
      </c>
      <c r="G94" s="3">
        <v>3.64</v>
      </c>
      <c r="H94" s="3">
        <v>3.26</v>
      </c>
      <c r="I94" s="3">
        <v>6.56</v>
      </c>
    </row>
    <row r="95" spans="1:9" x14ac:dyDescent="0.3">
      <c r="A95" t="s">
        <v>210</v>
      </c>
      <c r="B95" t="s">
        <v>211</v>
      </c>
      <c r="C95" t="s">
        <v>26</v>
      </c>
      <c r="D95">
        <v>3</v>
      </c>
      <c r="E95" s="3">
        <v>1.71</v>
      </c>
      <c r="F95" s="3">
        <v>1.41</v>
      </c>
      <c r="G95" s="3">
        <v>4.17</v>
      </c>
      <c r="H95" s="3">
        <v>2.44</v>
      </c>
      <c r="I95" s="3">
        <v>2.06</v>
      </c>
    </row>
    <row r="96" spans="1:9" x14ac:dyDescent="0.3">
      <c r="A96" t="s">
        <v>212</v>
      </c>
      <c r="B96" t="s">
        <v>213</v>
      </c>
      <c r="C96" t="s">
        <v>31</v>
      </c>
      <c r="D96">
        <v>28</v>
      </c>
      <c r="E96" s="3">
        <v>1.72</v>
      </c>
      <c r="F96" s="3">
        <v>0.02</v>
      </c>
      <c r="G96" s="3">
        <v>88.68</v>
      </c>
      <c r="H96" s="3">
        <v>1.48</v>
      </c>
      <c r="I96" s="3">
        <v>2.21</v>
      </c>
    </row>
    <row r="97" spans="1:9" x14ac:dyDescent="0.3">
      <c r="A97" t="s">
        <v>214</v>
      </c>
      <c r="B97" t="s">
        <v>215</v>
      </c>
      <c r="C97" t="s">
        <v>105</v>
      </c>
      <c r="D97">
        <v>17</v>
      </c>
      <c r="E97" s="3">
        <v>1.76</v>
      </c>
      <c r="F97" s="3">
        <v>1.1100000000000001</v>
      </c>
      <c r="G97" s="3">
        <v>14.62</v>
      </c>
      <c r="H97" s="3">
        <v>4.92</v>
      </c>
      <c r="I97" s="3">
        <v>14.6</v>
      </c>
    </row>
    <row r="98" spans="1:9" x14ac:dyDescent="0.3">
      <c r="A98" t="s">
        <v>216</v>
      </c>
      <c r="B98" t="s">
        <v>217</v>
      </c>
      <c r="C98" t="s">
        <v>34</v>
      </c>
      <c r="D98">
        <v>30</v>
      </c>
      <c r="E98" s="3">
        <v>1.77</v>
      </c>
      <c r="F98" s="3">
        <v>0.95</v>
      </c>
      <c r="G98" s="3">
        <v>8.2100000000000009</v>
      </c>
      <c r="H98" s="3">
        <v>1.42</v>
      </c>
      <c r="I98" s="3">
        <v>3.16</v>
      </c>
    </row>
    <row r="99" spans="1:9" x14ac:dyDescent="0.3">
      <c r="A99" t="s">
        <v>218</v>
      </c>
      <c r="B99" t="s">
        <v>219</v>
      </c>
      <c r="C99" t="s">
        <v>17</v>
      </c>
      <c r="D99">
        <v>20</v>
      </c>
      <c r="E99" s="3">
        <v>1.8</v>
      </c>
      <c r="F99" s="3">
        <v>0.3</v>
      </c>
      <c r="G99" s="3">
        <v>7.98</v>
      </c>
      <c r="H99" s="3">
        <v>0.93</v>
      </c>
      <c r="I99" s="3">
        <v>5.63</v>
      </c>
    </row>
    <row r="100" spans="1:9" x14ac:dyDescent="0.3">
      <c r="A100" t="s">
        <v>220</v>
      </c>
      <c r="B100" t="s">
        <v>221</v>
      </c>
      <c r="C100" t="s">
        <v>23</v>
      </c>
      <c r="D100">
        <v>14</v>
      </c>
      <c r="E100" s="3">
        <v>1.8</v>
      </c>
      <c r="F100" s="3">
        <v>0.42</v>
      </c>
      <c r="G100" s="3">
        <v>34.28</v>
      </c>
      <c r="H100" s="3">
        <v>1.66</v>
      </c>
      <c r="I100" s="3">
        <v>3.33</v>
      </c>
    </row>
    <row r="101" spans="1:9" x14ac:dyDescent="0.3">
      <c r="A101" t="s">
        <v>222</v>
      </c>
      <c r="B101" t="s">
        <v>223</v>
      </c>
      <c r="C101" t="s">
        <v>17</v>
      </c>
      <c r="D101">
        <v>42</v>
      </c>
      <c r="E101" s="3">
        <v>1.82</v>
      </c>
      <c r="F101" s="3">
        <v>0.24</v>
      </c>
      <c r="G101" s="3">
        <v>9.8000000000000007</v>
      </c>
      <c r="H101" s="3">
        <v>1.86</v>
      </c>
      <c r="I101" s="3">
        <v>6.42</v>
      </c>
    </row>
    <row r="102" spans="1:9" x14ac:dyDescent="0.3">
      <c r="A102" t="s">
        <v>224</v>
      </c>
      <c r="B102" t="s">
        <v>225</v>
      </c>
      <c r="C102" t="s">
        <v>105</v>
      </c>
      <c r="D102">
        <v>12</v>
      </c>
      <c r="E102" s="3">
        <v>1.9</v>
      </c>
      <c r="F102" s="3">
        <v>0.21</v>
      </c>
      <c r="G102" s="3">
        <v>143.18</v>
      </c>
      <c r="H102" s="3">
        <v>5.92</v>
      </c>
      <c r="I102" s="3">
        <v>2.69</v>
      </c>
    </row>
    <row r="103" spans="1:9" x14ac:dyDescent="0.3">
      <c r="A103" t="s">
        <v>226</v>
      </c>
      <c r="B103" t="s">
        <v>227</v>
      </c>
      <c r="C103" t="s">
        <v>34</v>
      </c>
      <c r="D103">
        <v>19</v>
      </c>
      <c r="E103" s="3">
        <v>1.93</v>
      </c>
      <c r="F103" s="3">
        <v>0.99</v>
      </c>
      <c r="G103" s="3">
        <v>8.2899999999999991</v>
      </c>
      <c r="H103" s="3">
        <v>2.89</v>
      </c>
      <c r="I103" s="3">
        <v>17.100000000000001</v>
      </c>
    </row>
    <row r="104" spans="1:9" x14ac:dyDescent="0.3">
      <c r="A104" t="s">
        <v>228</v>
      </c>
      <c r="B104" t="s">
        <v>229</v>
      </c>
      <c r="C104" t="s">
        <v>124</v>
      </c>
      <c r="D104">
        <v>24</v>
      </c>
      <c r="E104" s="3">
        <v>1.94</v>
      </c>
      <c r="F104" s="3">
        <v>1.29</v>
      </c>
      <c r="G104" s="3">
        <v>5.14</v>
      </c>
      <c r="H104" s="3">
        <v>2.17</v>
      </c>
      <c r="I104" s="3">
        <v>4.84</v>
      </c>
    </row>
    <row r="105" spans="1:9" x14ac:dyDescent="0.3">
      <c r="A105" t="s">
        <v>230</v>
      </c>
      <c r="B105" t="s">
        <v>231</v>
      </c>
      <c r="C105" t="s">
        <v>39</v>
      </c>
      <c r="D105">
        <v>12</v>
      </c>
      <c r="E105" s="3">
        <v>1.94</v>
      </c>
      <c r="F105" s="3">
        <v>1.72</v>
      </c>
      <c r="G105" s="3">
        <v>2.73</v>
      </c>
      <c r="H105" s="3">
        <v>4.92</v>
      </c>
      <c r="I105" s="3">
        <v>6.08</v>
      </c>
    </row>
    <row r="106" spans="1:9" x14ac:dyDescent="0.3">
      <c r="A106" t="s">
        <v>232</v>
      </c>
      <c r="B106" t="s">
        <v>233</v>
      </c>
      <c r="C106" t="s">
        <v>26</v>
      </c>
      <c r="D106">
        <v>19</v>
      </c>
      <c r="E106" s="3">
        <v>1.99</v>
      </c>
      <c r="F106" s="3">
        <v>0.79</v>
      </c>
      <c r="G106" s="3">
        <v>4.96</v>
      </c>
      <c r="H106" s="3">
        <v>2.08</v>
      </c>
      <c r="I106" s="3">
        <v>4.53</v>
      </c>
    </row>
    <row r="107" spans="1:9" x14ac:dyDescent="0.3">
      <c r="A107" t="s">
        <v>234</v>
      </c>
      <c r="B107" t="s">
        <v>235</v>
      </c>
      <c r="C107" t="s">
        <v>20</v>
      </c>
      <c r="D107">
        <v>11</v>
      </c>
      <c r="E107" s="3">
        <v>2</v>
      </c>
      <c r="F107" s="3">
        <v>1.33</v>
      </c>
      <c r="G107" s="3">
        <v>2.92</v>
      </c>
      <c r="H107" s="3">
        <v>2.5</v>
      </c>
      <c r="I107" s="3">
        <v>1.94</v>
      </c>
    </row>
    <row r="108" spans="1:9" x14ac:dyDescent="0.3">
      <c r="A108" t="s">
        <v>236</v>
      </c>
      <c r="B108" t="s">
        <v>515</v>
      </c>
      <c r="C108" t="s">
        <v>105</v>
      </c>
      <c r="D108">
        <v>11</v>
      </c>
      <c r="E108" s="3">
        <v>2</v>
      </c>
      <c r="F108" s="3">
        <v>0.5</v>
      </c>
      <c r="G108" s="3">
        <v>8.33</v>
      </c>
      <c r="H108" s="3">
        <v>4.67</v>
      </c>
      <c r="I108" s="3">
        <v>4.97</v>
      </c>
    </row>
    <row r="109" spans="1:9" x14ac:dyDescent="0.3">
      <c r="A109" t="s">
        <v>238</v>
      </c>
      <c r="B109" t="s">
        <v>239</v>
      </c>
      <c r="C109" t="s">
        <v>23</v>
      </c>
      <c r="D109">
        <v>27</v>
      </c>
      <c r="E109" s="3">
        <v>2.0099999999999998</v>
      </c>
      <c r="F109" s="3">
        <v>0.82</v>
      </c>
      <c r="G109" s="3">
        <v>59.04</v>
      </c>
      <c r="H109" s="3">
        <v>3.62</v>
      </c>
      <c r="I109" s="3">
        <v>13.1</v>
      </c>
    </row>
    <row r="110" spans="1:9" x14ac:dyDescent="0.3">
      <c r="A110" t="s">
        <v>240</v>
      </c>
      <c r="B110" t="s">
        <v>241</v>
      </c>
      <c r="C110" t="s">
        <v>26</v>
      </c>
      <c r="D110">
        <v>54</v>
      </c>
      <c r="E110" s="3">
        <v>2.1</v>
      </c>
      <c r="F110" s="3">
        <v>0.09</v>
      </c>
      <c r="G110" s="3">
        <v>5.12</v>
      </c>
      <c r="H110" s="3">
        <v>2.12</v>
      </c>
      <c r="I110" s="3">
        <v>18.79</v>
      </c>
    </row>
    <row r="111" spans="1:9" x14ac:dyDescent="0.3">
      <c r="A111" t="s">
        <v>242</v>
      </c>
      <c r="B111" t="s">
        <v>243</v>
      </c>
      <c r="C111" t="s">
        <v>14</v>
      </c>
      <c r="D111">
        <v>24</v>
      </c>
      <c r="E111" s="3">
        <v>2.12</v>
      </c>
      <c r="F111" s="3">
        <v>1.27</v>
      </c>
      <c r="G111" s="3">
        <v>8.49</v>
      </c>
      <c r="H111" s="3">
        <v>2.27</v>
      </c>
      <c r="I111" s="3">
        <v>2</v>
      </c>
    </row>
    <row r="112" spans="1:9" x14ac:dyDescent="0.3">
      <c r="A112" t="s">
        <v>244</v>
      </c>
      <c r="B112" t="s">
        <v>245</v>
      </c>
      <c r="C112" t="s">
        <v>14</v>
      </c>
      <c r="D112">
        <v>60</v>
      </c>
      <c r="E112" s="3">
        <v>2.12</v>
      </c>
      <c r="F112" s="3">
        <v>0.13</v>
      </c>
      <c r="G112" s="3">
        <v>8.67</v>
      </c>
      <c r="H112" s="3">
        <v>4.58</v>
      </c>
      <c r="I112" s="3">
        <v>11.28</v>
      </c>
    </row>
    <row r="113" spans="1:9" x14ac:dyDescent="0.3">
      <c r="A113" t="s">
        <v>246</v>
      </c>
      <c r="B113" t="s">
        <v>247</v>
      </c>
      <c r="C113" t="s">
        <v>31</v>
      </c>
      <c r="D113">
        <v>21</v>
      </c>
      <c r="E113" s="3">
        <v>2.12</v>
      </c>
      <c r="F113" s="3">
        <v>0.14000000000000001</v>
      </c>
      <c r="G113" s="3">
        <v>5.9</v>
      </c>
      <c r="H113" s="3">
        <v>3.94</v>
      </c>
      <c r="I113" s="3">
        <v>2.83</v>
      </c>
    </row>
    <row r="114" spans="1:9" x14ac:dyDescent="0.3">
      <c r="A114" t="s">
        <v>248</v>
      </c>
      <c r="B114" t="s">
        <v>249</v>
      </c>
      <c r="C114" t="s">
        <v>20</v>
      </c>
      <c r="D114">
        <v>23</v>
      </c>
      <c r="E114" s="3">
        <v>2.14</v>
      </c>
      <c r="F114" s="3">
        <v>1</v>
      </c>
      <c r="G114" s="3">
        <v>70</v>
      </c>
      <c r="H114" s="3">
        <v>2</v>
      </c>
      <c r="I114" s="3">
        <v>4.26</v>
      </c>
    </row>
    <row r="115" spans="1:9" x14ac:dyDescent="0.3">
      <c r="A115" t="s">
        <v>250</v>
      </c>
      <c r="B115" t="s">
        <v>251</v>
      </c>
      <c r="C115" t="s">
        <v>20</v>
      </c>
      <c r="D115">
        <v>18</v>
      </c>
      <c r="E115" s="3">
        <v>2.15</v>
      </c>
      <c r="F115" s="3">
        <v>1</v>
      </c>
      <c r="G115" s="3">
        <v>60</v>
      </c>
      <c r="H115" s="3">
        <v>2.65</v>
      </c>
      <c r="I115" s="3">
        <v>12.97</v>
      </c>
    </row>
    <row r="116" spans="1:9" x14ac:dyDescent="0.3">
      <c r="A116" t="s">
        <v>252</v>
      </c>
      <c r="B116" t="s">
        <v>253</v>
      </c>
      <c r="C116" t="s">
        <v>39</v>
      </c>
      <c r="D116">
        <v>48</v>
      </c>
      <c r="E116" s="3">
        <v>2.1800000000000002</v>
      </c>
      <c r="F116" s="3">
        <v>0.87</v>
      </c>
      <c r="G116" s="3">
        <v>14.44</v>
      </c>
      <c r="H116" s="3">
        <v>5.09</v>
      </c>
      <c r="I116" s="3">
        <v>5.99</v>
      </c>
    </row>
    <row r="117" spans="1:9" x14ac:dyDescent="0.3">
      <c r="A117" t="s">
        <v>254</v>
      </c>
      <c r="B117" t="s">
        <v>516</v>
      </c>
      <c r="C117" t="s">
        <v>34</v>
      </c>
      <c r="D117">
        <v>9</v>
      </c>
      <c r="E117" s="3">
        <v>2.23</v>
      </c>
      <c r="F117" s="3">
        <v>1.78</v>
      </c>
      <c r="G117" s="3">
        <v>7.43</v>
      </c>
      <c r="H117" s="3">
        <v>2.64</v>
      </c>
      <c r="I117" s="3">
        <v>8.51</v>
      </c>
    </row>
    <row r="118" spans="1:9" x14ac:dyDescent="0.3">
      <c r="A118" t="s">
        <v>256</v>
      </c>
      <c r="B118" t="s">
        <v>257</v>
      </c>
      <c r="C118" t="s">
        <v>26</v>
      </c>
      <c r="D118">
        <v>9</v>
      </c>
      <c r="E118" s="3">
        <v>2.2400000000000002</v>
      </c>
      <c r="F118" s="3">
        <v>0.69</v>
      </c>
      <c r="G118" s="3">
        <v>2.8</v>
      </c>
      <c r="H118" s="3">
        <v>13.31</v>
      </c>
      <c r="I118" s="3">
        <v>5.25</v>
      </c>
    </row>
    <row r="119" spans="1:9" x14ac:dyDescent="0.3">
      <c r="A119" t="s">
        <v>258</v>
      </c>
      <c r="B119" t="s">
        <v>259</v>
      </c>
      <c r="C119" t="s">
        <v>26</v>
      </c>
      <c r="D119">
        <v>50</v>
      </c>
      <c r="E119" s="3">
        <v>2.25</v>
      </c>
      <c r="F119" s="3">
        <v>0.26</v>
      </c>
      <c r="G119" s="3">
        <v>10.93</v>
      </c>
      <c r="H119" s="3">
        <v>1.05</v>
      </c>
      <c r="I119" s="3">
        <v>2.73</v>
      </c>
    </row>
    <row r="120" spans="1:9" x14ac:dyDescent="0.3">
      <c r="A120" t="s">
        <v>260</v>
      </c>
      <c r="B120" t="s">
        <v>261</v>
      </c>
      <c r="C120" t="s">
        <v>20</v>
      </c>
      <c r="D120">
        <v>18</v>
      </c>
      <c r="E120" s="3">
        <v>2.2599999999999998</v>
      </c>
      <c r="F120" s="3">
        <v>0.71</v>
      </c>
      <c r="G120" s="3">
        <v>9.61</v>
      </c>
      <c r="H120" s="3">
        <v>5.4</v>
      </c>
      <c r="I120" s="3">
        <v>12.14</v>
      </c>
    </row>
    <row r="121" spans="1:9" x14ac:dyDescent="0.3">
      <c r="A121" t="s">
        <v>262</v>
      </c>
      <c r="B121" t="s">
        <v>263</v>
      </c>
      <c r="C121" t="s">
        <v>31</v>
      </c>
      <c r="D121">
        <v>21</v>
      </c>
      <c r="E121" s="3">
        <v>2.2599999999999998</v>
      </c>
      <c r="F121" s="3">
        <v>0.63</v>
      </c>
      <c r="G121" s="3">
        <v>84.5</v>
      </c>
      <c r="H121" s="3">
        <v>2.2200000000000002</v>
      </c>
      <c r="I121" s="3">
        <v>11.51</v>
      </c>
    </row>
    <row r="122" spans="1:9" x14ac:dyDescent="0.3">
      <c r="A122" t="s">
        <v>264</v>
      </c>
      <c r="B122" t="s">
        <v>517</v>
      </c>
      <c r="C122" t="s">
        <v>34</v>
      </c>
      <c r="D122">
        <v>52</v>
      </c>
      <c r="E122" s="3">
        <v>2.2999999999999998</v>
      </c>
      <c r="F122" s="3">
        <v>0.21</v>
      </c>
      <c r="G122" s="3">
        <v>10.73</v>
      </c>
      <c r="H122" s="3">
        <v>2.5499999999999998</v>
      </c>
      <c r="I122" s="3">
        <v>7.15</v>
      </c>
    </row>
    <row r="123" spans="1:9" x14ac:dyDescent="0.3">
      <c r="A123" t="s">
        <v>266</v>
      </c>
      <c r="B123" t="s">
        <v>267</v>
      </c>
      <c r="C123" t="s">
        <v>31</v>
      </c>
      <c r="D123">
        <v>26</v>
      </c>
      <c r="E123" s="3">
        <v>2.35</v>
      </c>
      <c r="F123" s="3">
        <v>0.26</v>
      </c>
      <c r="G123" s="3">
        <v>12.92</v>
      </c>
      <c r="H123" s="3">
        <v>2.48</v>
      </c>
      <c r="I123" s="3">
        <v>4</v>
      </c>
    </row>
    <row r="124" spans="1:9" x14ac:dyDescent="0.3">
      <c r="A124" t="s">
        <v>268</v>
      </c>
      <c r="B124" t="s">
        <v>269</v>
      </c>
      <c r="C124" t="s">
        <v>124</v>
      </c>
      <c r="D124">
        <v>15</v>
      </c>
      <c r="E124" s="3">
        <v>2.36</v>
      </c>
      <c r="F124" s="3">
        <v>1.6</v>
      </c>
      <c r="G124" s="3">
        <v>2.94</v>
      </c>
      <c r="H124" s="3">
        <v>2.74</v>
      </c>
      <c r="I124" s="3">
        <v>4.8899999999999997</v>
      </c>
    </row>
    <row r="125" spans="1:9" x14ac:dyDescent="0.3">
      <c r="A125" t="s">
        <v>270</v>
      </c>
      <c r="B125" t="s">
        <v>271</v>
      </c>
      <c r="C125" t="s">
        <v>105</v>
      </c>
      <c r="D125">
        <v>17</v>
      </c>
      <c r="E125" s="3">
        <v>2.36</v>
      </c>
      <c r="F125" s="3">
        <v>0.59</v>
      </c>
      <c r="G125" s="3">
        <v>106.49</v>
      </c>
      <c r="H125" s="3">
        <v>4.0599999999999996</v>
      </c>
      <c r="I125" s="3">
        <v>5.04</v>
      </c>
    </row>
    <row r="126" spans="1:9" x14ac:dyDescent="0.3">
      <c r="A126" t="s">
        <v>272</v>
      </c>
      <c r="B126" t="s">
        <v>273</v>
      </c>
      <c r="C126" t="s">
        <v>39</v>
      </c>
      <c r="D126">
        <v>28</v>
      </c>
      <c r="E126" s="3">
        <v>2.38</v>
      </c>
      <c r="F126" s="3">
        <v>0.44</v>
      </c>
      <c r="G126" s="3">
        <v>11.47</v>
      </c>
      <c r="H126" s="3">
        <v>1.45</v>
      </c>
      <c r="I126" s="3">
        <v>7.4</v>
      </c>
    </row>
    <row r="127" spans="1:9" x14ac:dyDescent="0.3">
      <c r="A127" t="s">
        <v>274</v>
      </c>
      <c r="B127" t="s">
        <v>275</v>
      </c>
      <c r="C127" t="s">
        <v>31</v>
      </c>
      <c r="D127">
        <v>24</v>
      </c>
      <c r="E127" s="3">
        <v>2.39</v>
      </c>
      <c r="F127" s="3">
        <v>0.63</v>
      </c>
      <c r="G127" s="3">
        <v>21.26</v>
      </c>
      <c r="H127" s="3">
        <v>3.04</v>
      </c>
      <c r="I127" s="3">
        <v>3.05</v>
      </c>
    </row>
    <row r="128" spans="1:9" x14ac:dyDescent="0.3">
      <c r="A128" t="s">
        <v>276</v>
      </c>
      <c r="B128" t="s">
        <v>277</v>
      </c>
      <c r="C128" t="s">
        <v>105</v>
      </c>
      <c r="D128">
        <v>13</v>
      </c>
      <c r="E128" s="3">
        <v>2.41</v>
      </c>
      <c r="F128" s="3">
        <v>1.48</v>
      </c>
      <c r="G128" s="3">
        <v>3.33</v>
      </c>
      <c r="H128" s="3">
        <v>3.33</v>
      </c>
      <c r="I128" s="3">
        <v>3.58</v>
      </c>
    </row>
    <row r="129" spans="1:9" x14ac:dyDescent="0.3">
      <c r="A129" t="s">
        <v>278</v>
      </c>
      <c r="B129" t="s">
        <v>279</v>
      </c>
      <c r="C129" t="s">
        <v>105</v>
      </c>
      <c r="D129">
        <v>13</v>
      </c>
      <c r="E129" s="3">
        <v>2.44</v>
      </c>
      <c r="F129" s="3">
        <v>1.84</v>
      </c>
      <c r="G129" s="3">
        <v>4.4400000000000004</v>
      </c>
      <c r="H129" s="3">
        <v>5.37</v>
      </c>
      <c r="I129" s="3">
        <v>12</v>
      </c>
    </row>
    <row r="130" spans="1:9" x14ac:dyDescent="0.3">
      <c r="A130" t="s">
        <v>280</v>
      </c>
      <c r="B130" t="s">
        <v>281</v>
      </c>
      <c r="C130" t="s">
        <v>39</v>
      </c>
      <c r="D130">
        <v>27</v>
      </c>
      <c r="E130" s="3">
        <v>2.5299999999999998</v>
      </c>
      <c r="F130" s="3">
        <v>0.73</v>
      </c>
      <c r="G130" s="3">
        <v>9.1199999999999992</v>
      </c>
      <c r="H130" s="3">
        <v>2.2999999999999998</v>
      </c>
      <c r="I130" s="3">
        <v>11.56</v>
      </c>
    </row>
    <row r="131" spans="1:9" x14ac:dyDescent="0.3">
      <c r="A131" t="s">
        <v>282</v>
      </c>
      <c r="B131" t="s">
        <v>283</v>
      </c>
      <c r="C131" t="s">
        <v>26</v>
      </c>
      <c r="D131">
        <v>29</v>
      </c>
      <c r="E131" s="3">
        <v>2.58</v>
      </c>
      <c r="F131" s="3">
        <v>1.17</v>
      </c>
      <c r="G131" s="3">
        <v>18.059999999999999</v>
      </c>
      <c r="H131" s="3">
        <v>3.2</v>
      </c>
      <c r="I131" s="3">
        <v>6.18</v>
      </c>
    </row>
    <row r="132" spans="1:9" x14ac:dyDescent="0.3">
      <c r="A132" t="s">
        <v>284</v>
      </c>
      <c r="B132" t="s">
        <v>285</v>
      </c>
      <c r="C132" t="s">
        <v>26</v>
      </c>
      <c r="D132">
        <v>40</v>
      </c>
      <c r="E132" s="3">
        <v>2.59</v>
      </c>
      <c r="F132" s="3">
        <v>1.55</v>
      </c>
      <c r="G132" s="3">
        <v>20</v>
      </c>
      <c r="H132" s="3">
        <v>3.25</v>
      </c>
      <c r="I132" s="3">
        <v>3.75</v>
      </c>
    </row>
    <row r="133" spans="1:9" x14ac:dyDescent="0.3">
      <c r="A133" t="s">
        <v>286</v>
      </c>
      <c r="B133" t="s">
        <v>287</v>
      </c>
      <c r="C133" t="s">
        <v>17</v>
      </c>
      <c r="D133">
        <v>22</v>
      </c>
      <c r="E133" s="3">
        <v>2.6</v>
      </c>
      <c r="F133" s="3">
        <v>0.87</v>
      </c>
      <c r="G133" s="3">
        <v>13.12</v>
      </c>
      <c r="H133" s="3">
        <v>4.6500000000000004</v>
      </c>
      <c r="I133" s="3">
        <v>4.0999999999999996</v>
      </c>
    </row>
    <row r="134" spans="1:9" x14ac:dyDescent="0.3">
      <c r="A134" t="s">
        <v>288</v>
      </c>
      <c r="B134" t="s">
        <v>289</v>
      </c>
      <c r="C134" t="s">
        <v>105</v>
      </c>
      <c r="D134">
        <v>14</v>
      </c>
      <c r="E134" s="3">
        <v>2.62</v>
      </c>
      <c r="F134" s="3">
        <v>1.46</v>
      </c>
      <c r="G134" s="3">
        <v>4.4400000000000004</v>
      </c>
      <c r="H134" s="3">
        <v>3.27</v>
      </c>
      <c r="I134" s="3">
        <v>4.84</v>
      </c>
    </row>
    <row r="135" spans="1:9" x14ac:dyDescent="0.3">
      <c r="A135" t="s">
        <v>290</v>
      </c>
      <c r="B135" t="s">
        <v>291</v>
      </c>
      <c r="C135" t="s">
        <v>23</v>
      </c>
      <c r="D135">
        <v>11</v>
      </c>
      <c r="E135" s="3">
        <v>2.64</v>
      </c>
      <c r="F135" s="3">
        <v>1.1000000000000001</v>
      </c>
      <c r="G135" s="3">
        <v>163.9</v>
      </c>
      <c r="H135" s="3">
        <v>2.41</v>
      </c>
      <c r="I135" s="3">
        <v>9.7799999999999994</v>
      </c>
    </row>
    <row r="136" spans="1:9" x14ac:dyDescent="0.3">
      <c r="A136" t="s">
        <v>292</v>
      </c>
      <c r="B136" t="s">
        <v>293</v>
      </c>
      <c r="C136" t="s">
        <v>26</v>
      </c>
      <c r="D136">
        <v>27</v>
      </c>
      <c r="E136" s="3">
        <v>2.66</v>
      </c>
      <c r="F136" s="3">
        <v>1.29</v>
      </c>
      <c r="G136" s="3">
        <v>9.02</v>
      </c>
      <c r="H136" s="3">
        <v>2.13</v>
      </c>
      <c r="I136" s="3">
        <v>7.19</v>
      </c>
    </row>
    <row r="137" spans="1:9" x14ac:dyDescent="0.3">
      <c r="A137" t="s">
        <v>294</v>
      </c>
      <c r="B137" t="s">
        <v>295</v>
      </c>
      <c r="C137" t="s">
        <v>26</v>
      </c>
      <c r="D137">
        <v>60</v>
      </c>
      <c r="E137" s="3">
        <v>2.67</v>
      </c>
      <c r="F137" s="3">
        <v>0.12</v>
      </c>
      <c r="G137" s="3">
        <v>34.950000000000003</v>
      </c>
      <c r="H137" s="3">
        <v>4.3</v>
      </c>
      <c r="I137" s="3">
        <v>7.77</v>
      </c>
    </row>
    <row r="138" spans="1:9" x14ac:dyDescent="0.3">
      <c r="A138" t="s">
        <v>296</v>
      </c>
      <c r="B138" t="s">
        <v>297</v>
      </c>
      <c r="C138" t="s">
        <v>105</v>
      </c>
      <c r="D138">
        <v>11</v>
      </c>
      <c r="E138" s="3">
        <v>2.74</v>
      </c>
      <c r="F138" s="3">
        <v>0.86</v>
      </c>
      <c r="G138" s="3">
        <v>9.6</v>
      </c>
      <c r="H138" s="3">
        <v>3.88</v>
      </c>
      <c r="I138" s="3">
        <v>2.4300000000000002</v>
      </c>
    </row>
    <row r="139" spans="1:9" x14ac:dyDescent="0.3">
      <c r="A139" t="s">
        <v>298</v>
      </c>
      <c r="B139" t="s">
        <v>299</v>
      </c>
      <c r="C139" t="s">
        <v>23</v>
      </c>
      <c r="D139">
        <v>7</v>
      </c>
      <c r="E139" s="3">
        <v>2.75</v>
      </c>
      <c r="F139" s="3">
        <v>2.35</v>
      </c>
      <c r="G139" s="3">
        <v>8.81</v>
      </c>
      <c r="H139" s="3">
        <v>3.24</v>
      </c>
      <c r="I139" s="3">
        <v>4.6399999999999997</v>
      </c>
    </row>
    <row r="140" spans="1:9" x14ac:dyDescent="0.3">
      <c r="A140" t="s">
        <v>300</v>
      </c>
      <c r="B140" t="s">
        <v>301</v>
      </c>
      <c r="C140" t="s">
        <v>23</v>
      </c>
      <c r="D140">
        <v>5</v>
      </c>
      <c r="E140" s="3">
        <v>2.78</v>
      </c>
      <c r="F140" s="3">
        <v>1.67</v>
      </c>
      <c r="G140" s="3">
        <v>2.98</v>
      </c>
      <c r="H140" s="3">
        <v>7.38</v>
      </c>
      <c r="I140" s="3">
        <v>3.1</v>
      </c>
    </row>
    <row r="141" spans="1:9" x14ac:dyDescent="0.3">
      <c r="A141" t="s">
        <v>302</v>
      </c>
      <c r="B141" t="s">
        <v>303</v>
      </c>
      <c r="C141" t="s">
        <v>26</v>
      </c>
      <c r="D141">
        <v>19</v>
      </c>
      <c r="E141" s="3">
        <v>2.79</v>
      </c>
      <c r="F141" s="3">
        <v>0.19</v>
      </c>
      <c r="G141" s="3">
        <v>6.98</v>
      </c>
      <c r="H141" s="3">
        <v>3.33</v>
      </c>
      <c r="I141" s="3">
        <v>12.82</v>
      </c>
    </row>
    <row r="142" spans="1:9" x14ac:dyDescent="0.3">
      <c r="A142" t="s">
        <v>304</v>
      </c>
      <c r="B142" t="s">
        <v>305</v>
      </c>
      <c r="C142" t="s">
        <v>31</v>
      </c>
      <c r="D142">
        <v>32</v>
      </c>
      <c r="E142" s="3">
        <v>2.8</v>
      </c>
      <c r="F142" s="3">
        <v>0.72</v>
      </c>
      <c r="G142" s="3">
        <v>96.39</v>
      </c>
      <c r="H142" s="3">
        <v>2.83</v>
      </c>
      <c r="I142" s="3">
        <v>5.28</v>
      </c>
    </row>
    <row r="143" spans="1:9" x14ac:dyDescent="0.3">
      <c r="A143" t="s">
        <v>306</v>
      </c>
      <c r="B143" t="s">
        <v>307</v>
      </c>
      <c r="C143" t="s">
        <v>39</v>
      </c>
      <c r="D143">
        <v>60</v>
      </c>
      <c r="E143" s="3">
        <v>2.8</v>
      </c>
      <c r="F143" s="3">
        <v>0.42</v>
      </c>
      <c r="G143" s="3">
        <v>9.8800000000000008</v>
      </c>
      <c r="H143" s="3">
        <v>3.46</v>
      </c>
      <c r="I143" s="3">
        <v>3.22</v>
      </c>
    </row>
    <row r="144" spans="1:9" x14ac:dyDescent="0.3">
      <c r="A144" t="s">
        <v>308</v>
      </c>
      <c r="B144" t="s">
        <v>309</v>
      </c>
      <c r="C144" t="s">
        <v>26</v>
      </c>
      <c r="D144">
        <v>8</v>
      </c>
      <c r="E144" s="3">
        <v>2.88</v>
      </c>
      <c r="F144" s="3">
        <v>1</v>
      </c>
      <c r="G144" s="3">
        <v>7.64</v>
      </c>
      <c r="H144" s="3">
        <v>1.94</v>
      </c>
      <c r="I144" s="3">
        <v>4.57</v>
      </c>
    </row>
    <row r="145" spans="1:9" x14ac:dyDescent="0.3">
      <c r="A145" t="s">
        <v>310</v>
      </c>
      <c r="B145" t="s">
        <v>311</v>
      </c>
      <c r="C145" t="s">
        <v>124</v>
      </c>
      <c r="D145">
        <v>27</v>
      </c>
      <c r="E145" s="3">
        <v>2.97</v>
      </c>
      <c r="F145" s="3">
        <v>1.48</v>
      </c>
      <c r="G145" s="3">
        <v>6.82</v>
      </c>
      <c r="H145" s="3">
        <v>3.25</v>
      </c>
      <c r="I145" s="3">
        <v>4.3899999999999997</v>
      </c>
    </row>
    <row r="146" spans="1:9" x14ac:dyDescent="0.3">
      <c r="A146" t="s">
        <v>312</v>
      </c>
      <c r="B146" t="s">
        <v>313</v>
      </c>
      <c r="C146" t="s">
        <v>23</v>
      </c>
      <c r="D146">
        <v>20</v>
      </c>
      <c r="E146" s="3">
        <v>3</v>
      </c>
      <c r="F146" s="3">
        <v>1.42</v>
      </c>
      <c r="G146" s="3">
        <v>7.1</v>
      </c>
      <c r="H146" s="3">
        <v>3.89</v>
      </c>
      <c r="I146" s="3">
        <v>13.95</v>
      </c>
    </row>
    <row r="147" spans="1:9" x14ac:dyDescent="0.3">
      <c r="A147" t="s">
        <v>314</v>
      </c>
      <c r="B147" t="s">
        <v>315</v>
      </c>
      <c r="C147" t="s">
        <v>23</v>
      </c>
      <c r="D147">
        <v>17</v>
      </c>
      <c r="E147" s="3">
        <v>3.1</v>
      </c>
      <c r="F147" s="3">
        <v>0.19</v>
      </c>
      <c r="G147" s="3">
        <v>24.06</v>
      </c>
      <c r="H147" s="3">
        <v>4.01</v>
      </c>
      <c r="I147" s="3">
        <v>7.99</v>
      </c>
    </row>
    <row r="148" spans="1:9" x14ac:dyDescent="0.3">
      <c r="A148" t="s">
        <v>316</v>
      </c>
      <c r="B148" t="s">
        <v>317</v>
      </c>
      <c r="C148" t="s">
        <v>23</v>
      </c>
      <c r="D148">
        <v>24</v>
      </c>
      <c r="E148" s="3">
        <v>3.11</v>
      </c>
      <c r="F148" s="3">
        <v>0.77</v>
      </c>
      <c r="G148" s="3">
        <v>15.97</v>
      </c>
      <c r="H148" s="3">
        <v>2.98</v>
      </c>
      <c r="I148" s="3">
        <v>4.62</v>
      </c>
    </row>
    <row r="149" spans="1:9" x14ac:dyDescent="0.3">
      <c r="A149" t="s">
        <v>318</v>
      </c>
      <c r="B149" t="s">
        <v>518</v>
      </c>
      <c r="C149" t="s">
        <v>34</v>
      </c>
      <c r="D149">
        <v>25</v>
      </c>
      <c r="E149" s="3">
        <v>3.19</v>
      </c>
      <c r="F149" s="3">
        <v>0.18</v>
      </c>
      <c r="G149" s="3">
        <v>4.25</v>
      </c>
      <c r="H149" s="3">
        <v>4.16</v>
      </c>
      <c r="I149" s="3">
        <v>3.42</v>
      </c>
    </row>
    <row r="150" spans="1:9" x14ac:dyDescent="0.3">
      <c r="A150" t="s">
        <v>320</v>
      </c>
      <c r="B150" t="s">
        <v>321</v>
      </c>
      <c r="C150" t="s">
        <v>14</v>
      </c>
      <c r="D150">
        <v>9</v>
      </c>
      <c r="E150" s="3">
        <v>3.2</v>
      </c>
      <c r="F150" s="3">
        <v>1.1000000000000001</v>
      </c>
      <c r="G150" s="3">
        <v>4.3899999999999997</v>
      </c>
      <c r="H150" s="3">
        <v>4.12</v>
      </c>
      <c r="I150" s="3">
        <v>12.57</v>
      </c>
    </row>
    <row r="151" spans="1:9" x14ac:dyDescent="0.3">
      <c r="A151" t="s">
        <v>322</v>
      </c>
      <c r="B151" t="s">
        <v>323</v>
      </c>
      <c r="C151" t="s">
        <v>26</v>
      </c>
      <c r="D151">
        <v>25</v>
      </c>
      <c r="E151" s="3">
        <v>3.21</v>
      </c>
      <c r="F151" s="3">
        <v>0.6</v>
      </c>
      <c r="G151" s="3">
        <v>96.41</v>
      </c>
      <c r="H151" s="3">
        <v>4.38</v>
      </c>
      <c r="I151" s="3">
        <v>5.27</v>
      </c>
    </row>
    <row r="152" spans="1:9" x14ac:dyDescent="0.3">
      <c r="A152" t="s">
        <v>324</v>
      </c>
      <c r="B152" t="s">
        <v>325</v>
      </c>
      <c r="C152" t="s">
        <v>34</v>
      </c>
      <c r="D152">
        <v>23</v>
      </c>
      <c r="E152" s="3">
        <v>3.24</v>
      </c>
      <c r="F152" s="3">
        <v>1.85</v>
      </c>
      <c r="G152" s="3">
        <v>12.95</v>
      </c>
      <c r="H152" s="3">
        <v>3.88</v>
      </c>
      <c r="I152" s="3">
        <v>5.79</v>
      </c>
    </row>
    <row r="153" spans="1:9" x14ac:dyDescent="0.3">
      <c r="A153" t="s">
        <v>326</v>
      </c>
      <c r="B153" t="s">
        <v>327</v>
      </c>
      <c r="C153" t="s">
        <v>26</v>
      </c>
      <c r="D153">
        <v>21</v>
      </c>
      <c r="E153" s="3">
        <v>3.26</v>
      </c>
      <c r="F153" s="3">
        <v>2.17</v>
      </c>
      <c r="G153" s="3">
        <v>4.4000000000000004</v>
      </c>
      <c r="H153" s="3">
        <v>3.69</v>
      </c>
      <c r="I153" s="3">
        <v>9.2200000000000006</v>
      </c>
    </row>
    <row r="154" spans="1:9" x14ac:dyDescent="0.3">
      <c r="A154" t="s">
        <v>328</v>
      </c>
      <c r="B154" t="s">
        <v>329</v>
      </c>
      <c r="C154" t="s">
        <v>26</v>
      </c>
      <c r="D154">
        <v>42</v>
      </c>
      <c r="E154" s="3">
        <v>3.28</v>
      </c>
      <c r="F154" s="3">
        <v>1.2</v>
      </c>
      <c r="G154" s="3">
        <v>169.79</v>
      </c>
      <c r="H154" s="3">
        <v>4.12</v>
      </c>
      <c r="I154" s="3">
        <v>12.37</v>
      </c>
    </row>
    <row r="155" spans="1:9" x14ac:dyDescent="0.3">
      <c r="A155" t="s">
        <v>330</v>
      </c>
      <c r="B155" t="s">
        <v>331</v>
      </c>
      <c r="C155" t="s">
        <v>332</v>
      </c>
      <c r="D155">
        <v>45</v>
      </c>
      <c r="E155" s="3">
        <v>3.33</v>
      </c>
      <c r="F155" s="3">
        <v>1</v>
      </c>
      <c r="G155" s="3">
        <v>30</v>
      </c>
      <c r="H155" s="3">
        <v>8</v>
      </c>
      <c r="I155" s="3">
        <v>8.34</v>
      </c>
    </row>
    <row r="156" spans="1:9" x14ac:dyDescent="0.3">
      <c r="A156" t="s">
        <v>333</v>
      </c>
      <c r="B156" t="s">
        <v>334</v>
      </c>
      <c r="C156" t="s">
        <v>23</v>
      </c>
      <c r="D156">
        <v>60</v>
      </c>
      <c r="E156" s="3">
        <v>3.38</v>
      </c>
      <c r="F156" s="3">
        <v>0.35</v>
      </c>
      <c r="G156" s="3">
        <v>11.83</v>
      </c>
      <c r="H156" s="3">
        <v>4.0599999999999996</v>
      </c>
      <c r="I156" s="3">
        <v>6.96</v>
      </c>
    </row>
    <row r="157" spans="1:9" x14ac:dyDescent="0.3">
      <c r="A157" t="s">
        <v>335</v>
      </c>
      <c r="B157" t="s">
        <v>336</v>
      </c>
      <c r="C157" t="s">
        <v>34</v>
      </c>
      <c r="D157">
        <v>35</v>
      </c>
      <c r="E157" s="3">
        <v>3.38</v>
      </c>
      <c r="F157" s="3">
        <v>0.88</v>
      </c>
      <c r="G157" s="3">
        <v>45.53</v>
      </c>
      <c r="H157" s="3">
        <v>3.91</v>
      </c>
      <c r="I157" s="3">
        <v>10.4</v>
      </c>
    </row>
    <row r="158" spans="1:9" x14ac:dyDescent="0.3">
      <c r="A158" t="s">
        <v>337</v>
      </c>
      <c r="B158" t="s">
        <v>338</v>
      </c>
      <c r="C158" t="s">
        <v>105</v>
      </c>
      <c r="D158">
        <v>40</v>
      </c>
      <c r="E158" s="3">
        <v>3.46</v>
      </c>
      <c r="F158" s="3">
        <v>0.59</v>
      </c>
      <c r="G158" s="3">
        <v>106.49</v>
      </c>
      <c r="H158" s="3">
        <v>3.32</v>
      </c>
      <c r="I158" s="3">
        <v>8.4600000000000009</v>
      </c>
    </row>
    <row r="159" spans="1:9" x14ac:dyDescent="0.3">
      <c r="A159" t="s">
        <v>339</v>
      </c>
      <c r="B159" t="s">
        <v>340</v>
      </c>
      <c r="C159" t="s">
        <v>105</v>
      </c>
      <c r="D159">
        <v>18</v>
      </c>
      <c r="E159" s="3">
        <v>3.46</v>
      </c>
      <c r="F159" s="3">
        <v>0.59</v>
      </c>
      <c r="G159" s="3">
        <v>106.49</v>
      </c>
      <c r="H159" s="3">
        <v>2.6</v>
      </c>
      <c r="I159" s="3">
        <v>7.12</v>
      </c>
    </row>
    <row r="160" spans="1:9" x14ac:dyDescent="0.3">
      <c r="A160" t="s">
        <v>341</v>
      </c>
      <c r="B160" t="s">
        <v>342</v>
      </c>
      <c r="C160" t="s">
        <v>173</v>
      </c>
      <c r="D160">
        <v>22</v>
      </c>
      <c r="E160" s="3">
        <v>3.49</v>
      </c>
      <c r="F160" s="3">
        <v>0.28999999999999998</v>
      </c>
      <c r="G160" s="3">
        <v>70.87</v>
      </c>
      <c r="H160" s="3">
        <v>3.79</v>
      </c>
      <c r="I160" s="3">
        <v>18.12</v>
      </c>
    </row>
    <row r="161" spans="1:9" x14ac:dyDescent="0.3">
      <c r="A161" t="s">
        <v>343</v>
      </c>
      <c r="B161" t="s">
        <v>344</v>
      </c>
      <c r="C161" t="s">
        <v>20</v>
      </c>
      <c r="D161">
        <v>9</v>
      </c>
      <c r="E161" s="3">
        <v>3.5</v>
      </c>
      <c r="F161" s="3">
        <v>1.49</v>
      </c>
      <c r="G161" s="3">
        <v>11.42</v>
      </c>
      <c r="H161" t="s">
        <v>345</v>
      </c>
      <c r="I161" s="3">
        <v>5.56</v>
      </c>
    </row>
    <row r="162" spans="1:9" x14ac:dyDescent="0.3">
      <c r="A162" t="s">
        <v>346</v>
      </c>
      <c r="B162" t="s">
        <v>347</v>
      </c>
      <c r="C162" t="s">
        <v>31</v>
      </c>
      <c r="D162">
        <v>45</v>
      </c>
      <c r="E162" s="3">
        <v>3.55</v>
      </c>
      <c r="F162" s="3">
        <v>1.04</v>
      </c>
      <c r="G162" s="3">
        <v>35.5</v>
      </c>
      <c r="H162" s="3">
        <v>3.84</v>
      </c>
      <c r="I162" s="3">
        <v>7.38</v>
      </c>
    </row>
    <row r="163" spans="1:9" x14ac:dyDescent="0.3">
      <c r="A163" t="s">
        <v>348</v>
      </c>
      <c r="B163" t="s">
        <v>349</v>
      </c>
      <c r="C163" t="s">
        <v>26</v>
      </c>
      <c r="D163">
        <v>37</v>
      </c>
      <c r="E163" s="3">
        <v>3.61</v>
      </c>
      <c r="F163" s="3">
        <v>0.45</v>
      </c>
      <c r="G163" s="3">
        <v>60.21</v>
      </c>
      <c r="H163" s="3">
        <v>27.22</v>
      </c>
      <c r="I163" s="3">
        <v>20.99</v>
      </c>
    </row>
    <row r="164" spans="1:9" x14ac:dyDescent="0.3">
      <c r="A164" t="s">
        <v>350</v>
      </c>
      <c r="B164" t="s">
        <v>351</v>
      </c>
      <c r="C164" t="s">
        <v>124</v>
      </c>
      <c r="D164">
        <v>45</v>
      </c>
      <c r="E164" s="3">
        <v>3.62</v>
      </c>
      <c r="F164" s="3">
        <v>1.2</v>
      </c>
      <c r="G164" s="3">
        <v>12.06</v>
      </c>
      <c r="H164" s="3">
        <v>4.7699999999999996</v>
      </c>
      <c r="I164" s="3">
        <v>15.05</v>
      </c>
    </row>
    <row r="165" spans="1:9" x14ac:dyDescent="0.3">
      <c r="A165" t="s">
        <v>352</v>
      </c>
      <c r="B165" t="s">
        <v>353</v>
      </c>
      <c r="C165" t="s">
        <v>105</v>
      </c>
      <c r="D165">
        <v>16</v>
      </c>
      <c r="E165" s="3">
        <v>3.7</v>
      </c>
      <c r="F165" s="3">
        <v>1.85</v>
      </c>
      <c r="G165" s="3">
        <v>24.42</v>
      </c>
      <c r="H165" s="3">
        <v>11.07</v>
      </c>
      <c r="I165" s="3">
        <v>14.9</v>
      </c>
    </row>
    <row r="166" spans="1:9" x14ac:dyDescent="0.3">
      <c r="A166" t="s">
        <v>354</v>
      </c>
      <c r="B166" t="s">
        <v>355</v>
      </c>
      <c r="C166" t="s">
        <v>23</v>
      </c>
      <c r="D166">
        <v>21</v>
      </c>
      <c r="E166" s="3">
        <v>3.85</v>
      </c>
      <c r="F166" s="3">
        <v>1.18</v>
      </c>
      <c r="G166" s="3">
        <v>14.15</v>
      </c>
      <c r="H166" s="3">
        <v>4.97</v>
      </c>
      <c r="I166" s="3">
        <v>13.98</v>
      </c>
    </row>
    <row r="167" spans="1:9" x14ac:dyDescent="0.3">
      <c r="A167" t="s">
        <v>356</v>
      </c>
      <c r="B167" t="s">
        <v>357</v>
      </c>
      <c r="C167" t="s">
        <v>105</v>
      </c>
      <c r="D167">
        <v>13</v>
      </c>
      <c r="E167" s="3">
        <v>3.85</v>
      </c>
      <c r="F167" s="3">
        <v>1.1100000000000001</v>
      </c>
      <c r="G167" s="3">
        <v>15.91</v>
      </c>
      <c r="H167" s="3">
        <v>5.92</v>
      </c>
      <c r="I167" s="3">
        <v>14.12</v>
      </c>
    </row>
    <row r="168" spans="1:9" x14ac:dyDescent="0.3">
      <c r="A168" t="s">
        <v>358</v>
      </c>
      <c r="B168" t="s">
        <v>359</v>
      </c>
      <c r="C168" t="s">
        <v>26</v>
      </c>
      <c r="D168">
        <v>30</v>
      </c>
      <c r="E168" s="3">
        <v>3.92</v>
      </c>
      <c r="F168" s="3">
        <v>1.63</v>
      </c>
      <c r="G168" s="3">
        <v>36.229999999999997</v>
      </c>
      <c r="H168" s="3">
        <v>13.87</v>
      </c>
      <c r="I168" s="3">
        <v>16.79</v>
      </c>
    </row>
    <row r="169" spans="1:9" x14ac:dyDescent="0.3">
      <c r="A169" t="s">
        <v>360</v>
      </c>
      <c r="B169" t="s">
        <v>361</v>
      </c>
      <c r="C169" t="s">
        <v>332</v>
      </c>
      <c r="D169">
        <v>3</v>
      </c>
      <c r="E169" s="3">
        <v>3.97</v>
      </c>
      <c r="F169" s="3">
        <v>2.2200000000000002</v>
      </c>
      <c r="G169" s="3">
        <v>11.43</v>
      </c>
      <c r="H169" s="3">
        <v>9.56</v>
      </c>
      <c r="I169" s="3">
        <v>11.12</v>
      </c>
    </row>
    <row r="170" spans="1:9" x14ac:dyDescent="0.3">
      <c r="A170" t="s">
        <v>362</v>
      </c>
      <c r="B170" t="s">
        <v>519</v>
      </c>
      <c r="C170" t="s">
        <v>105</v>
      </c>
      <c r="D170">
        <v>19</v>
      </c>
      <c r="E170" s="3">
        <v>4</v>
      </c>
      <c r="F170" s="3">
        <v>0.5</v>
      </c>
      <c r="G170" s="3">
        <v>20</v>
      </c>
      <c r="H170" s="3">
        <v>9.17</v>
      </c>
      <c r="I170" s="3">
        <v>14.61</v>
      </c>
    </row>
    <row r="171" spans="1:9" x14ac:dyDescent="0.3">
      <c r="A171" t="s">
        <v>364</v>
      </c>
      <c r="B171" t="s">
        <v>365</v>
      </c>
      <c r="C171" t="s">
        <v>105</v>
      </c>
      <c r="D171">
        <v>12</v>
      </c>
      <c r="E171" s="3">
        <v>4.01</v>
      </c>
      <c r="F171" s="3">
        <v>1.1100000000000001</v>
      </c>
      <c r="G171" s="3">
        <v>29.23</v>
      </c>
      <c r="H171" s="3">
        <v>8.33</v>
      </c>
      <c r="I171" s="3">
        <v>4.92</v>
      </c>
    </row>
    <row r="172" spans="1:9" x14ac:dyDescent="0.3">
      <c r="A172" t="s">
        <v>366</v>
      </c>
      <c r="B172" t="s">
        <v>367</v>
      </c>
      <c r="C172" t="s">
        <v>105</v>
      </c>
      <c r="D172">
        <v>21</v>
      </c>
      <c r="E172" s="3">
        <v>4.17</v>
      </c>
      <c r="F172" s="3">
        <v>0.83</v>
      </c>
      <c r="G172" s="3">
        <v>6.92</v>
      </c>
      <c r="H172" s="3">
        <v>4.66</v>
      </c>
      <c r="I172" s="3">
        <v>21.64</v>
      </c>
    </row>
    <row r="173" spans="1:9" x14ac:dyDescent="0.3">
      <c r="A173" t="s">
        <v>368</v>
      </c>
      <c r="B173" t="s">
        <v>369</v>
      </c>
      <c r="C173" t="s">
        <v>20</v>
      </c>
      <c r="D173">
        <v>30</v>
      </c>
      <c r="E173" s="3">
        <v>4.2</v>
      </c>
      <c r="F173" s="3">
        <v>1.65</v>
      </c>
      <c r="G173" s="3">
        <v>52.66</v>
      </c>
      <c r="H173" s="3">
        <v>15.42</v>
      </c>
      <c r="I173" s="3">
        <v>4.96</v>
      </c>
    </row>
    <row r="174" spans="1:9" x14ac:dyDescent="0.3">
      <c r="A174" t="s">
        <v>370</v>
      </c>
      <c r="B174" t="s">
        <v>371</v>
      </c>
      <c r="C174" t="s">
        <v>26</v>
      </c>
      <c r="D174">
        <v>9</v>
      </c>
      <c r="E174" s="3">
        <v>4.41</v>
      </c>
      <c r="F174" s="3">
        <v>2.25</v>
      </c>
      <c r="G174" s="3">
        <v>36.119999999999997</v>
      </c>
      <c r="H174" s="3">
        <v>4.12</v>
      </c>
      <c r="I174" s="3">
        <v>11.71</v>
      </c>
    </row>
    <row r="175" spans="1:9" x14ac:dyDescent="0.3">
      <c r="A175" t="s">
        <v>372</v>
      </c>
      <c r="B175" t="s">
        <v>373</v>
      </c>
      <c r="C175" t="s">
        <v>105</v>
      </c>
      <c r="D175">
        <v>39</v>
      </c>
      <c r="E175" s="3">
        <v>4.4400000000000004</v>
      </c>
      <c r="F175" s="3">
        <v>1.48</v>
      </c>
      <c r="G175" s="3">
        <v>42.18</v>
      </c>
      <c r="H175" s="3">
        <v>7.17</v>
      </c>
      <c r="I175" s="3">
        <v>12.7</v>
      </c>
    </row>
    <row r="176" spans="1:9" x14ac:dyDescent="0.3">
      <c r="A176" t="s">
        <v>374</v>
      </c>
      <c r="B176" t="s">
        <v>520</v>
      </c>
      <c r="C176" t="s">
        <v>105</v>
      </c>
      <c r="D176">
        <v>17</v>
      </c>
      <c r="E176" s="3">
        <v>4.4400000000000004</v>
      </c>
      <c r="F176" s="3">
        <v>0.74</v>
      </c>
      <c r="G176" s="3">
        <v>8.9600000000000009</v>
      </c>
      <c r="H176" s="3">
        <v>9.11</v>
      </c>
      <c r="I176" s="3">
        <v>5.56</v>
      </c>
    </row>
    <row r="177" spans="1:9" x14ac:dyDescent="0.3">
      <c r="A177" t="s">
        <v>376</v>
      </c>
      <c r="B177" t="s">
        <v>377</v>
      </c>
      <c r="C177" t="s">
        <v>124</v>
      </c>
      <c r="D177">
        <v>8</v>
      </c>
      <c r="E177" s="3">
        <v>4.49</v>
      </c>
      <c r="F177" s="3">
        <v>2</v>
      </c>
      <c r="G177" s="3">
        <v>7.48</v>
      </c>
      <c r="H177" s="3">
        <v>6.69</v>
      </c>
      <c r="I177" s="3">
        <v>4.6900000000000004</v>
      </c>
    </row>
    <row r="178" spans="1:9" x14ac:dyDescent="0.3">
      <c r="A178" t="s">
        <v>378</v>
      </c>
      <c r="B178" t="s">
        <v>379</v>
      </c>
      <c r="C178" t="s">
        <v>26</v>
      </c>
      <c r="D178">
        <v>31</v>
      </c>
      <c r="E178" s="3">
        <v>4.5199999999999996</v>
      </c>
      <c r="F178" s="3">
        <v>2.35</v>
      </c>
      <c r="G178" s="3">
        <v>18.059999999999999</v>
      </c>
      <c r="H178" s="3">
        <v>2.4700000000000002</v>
      </c>
      <c r="I178" s="3">
        <v>10.26</v>
      </c>
    </row>
    <row r="179" spans="1:9" x14ac:dyDescent="0.3">
      <c r="A179" t="s">
        <v>380</v>
      </c>
      <c r="B179" t="s">
        <v>381</v>
      </c>
      <c r="C179" t="s">
        <v>23</v>
      </c>
      <c r="D179">
        <v>13</v>
      </c>
      <c r="E179" s="3">
        <v>4.6500000000000004</v>
      </c>
      <c r="F179" s="3">
        <v>0.57999999999999996</v>
      </c>
      <c r="G179" s="3">
        <v>29.03</v>
      </c>
      <c r="H179" s="3">
        <v>5.9</v>
      </c>
      <c r="I179" s="3">
        <v>11.76</v>
      </c>
    </row>
    <row r="180" spans="1:9" x14ac:dyDescent="0.3">
      <c r="A180" t="s">
        <v>382</v>
      </c>
      <c r="B180" t="s">
        <v>383</v>
      </c>
      <c r="C180" t="s">
        <v>26</v>
      </c>
      <c r="D180">
        <v>18</v>
      </c>
      <c r="E180" s="3">
        <v>4.6900000000000004</v>
      </c>
      <c r="F180" s="3">
        <v>2.0299999999999998</v>
      </c>
      <c r="G180" s="3">
        <v>40.64</v>
      </c>
      <c r="H180" s="3">
        <v>4.5</v>
      </c>
      <c r="I180" s="3">
        <v>15.12</v>
      </c>
    </row>
    <row r="181" spans="1:9" x14ac:dyDescent="0.3">
      <c r="A181" t="s">
        <v>384</v>
      </c>
      <c r="B181" t="s">
        <v>385</v>
      </c>
      <c r="C181" t="s">
        <v>34</v>
      </c>
      <c r="D181">
        <v>18</v>
      </c>
      <c r="E181" s="3">
        <v>4.72</v>
      </c>
      <c r="F181" s="3">
        <v>0.06</v>
      </c>
      <c r="G181" s="3">
        <v>96.88</v>
      </c>
      <c r="H181" s="3">
        <v>10.94</v>
      </c>
      <c r="I181" s="3">
        <v>9.2100000000000009</v>
      </c>
    </row>
    <row r="182" spans="1:9" x14ac:dyDescent="0.3">
      <c r="A182" t="s">
        <v>386</v>
      </c>
      <c r="B182" t="s">
        <v>521</v>
      </c>
      <c r="C182" t="s">
        <v>26</v>
      </c>
      <c r="D182">
        <v>24</v>
      </c>
      <c r="E182" s="3">
        <v>4.78</v>
      </c>
      <c r="F182" s="3">
        <v>1.07</v>
      </c>
      <c r="G182" s="3">
        <v>48.35</v>
      </c>
      <c r="H182" s="3">
        <v>4.8099999999999996</v>
      </c>
      <c r="I182" s="3">
        <v>4.25</v>
      </c>
    </row>
    <row r="183" spans="1:9" x14ac:dyDescent="0.3">
      <c r="A183" t="s">
        <v>388</v>
      </c>
      <c r="B183" t="s">
        <v>389</v>
      </c>
      <c r="C183" t="s">
        <v>14</v>
      </c>
      <c r="D183">
        <v>15</v>
      </c>
      <c r="E183" s="3">
        <v>4.8099999999999996</v>
      </c>
      <c r="F183" s="3">
        <v>1.21</v>
      </c>
      <c r="G183" s="3">
        <v>77.7</v>
      </c>
      <c r="H183" s="3">
        <v>3.82</v>
      </c>
      <c r="I183" s="3">
        <v>5.84</v>
      </c>
    </row>
    <row r="184" spans="1:9" x14ac:dyDescent="0.3">
      <c r="A184" t="s">
        <v>390</v>
      </c>
      <c r="B184" t="s">
        <v>391</v>
      </c>
      <c r="C184" t="s">
        <v>26</v>
      </c>
      <c r="D184">
        <v>52</v>
      </c>
      <c r="E184" s="3">
        <v>4.82</v>
      </c>
      <c r="F184" s="3">
        <v>1.06</v>
      </c>
      <c r="G184" s="3">
        <v>18.059999999999999</v>
      </c>
      <c r="H184" s="3">
        <v>4.8899999999999997</v>
      </c>
      <c r="I184" s="3">
        <v>3.39</v>
      </c>
    </row>
    <row r="185" spans="1:9" x14ac:dyDescent="0.3">
      <c r="A185" t="s">
        <v>392</v>
      </c>
      <c r="B185" t="s">
        <v>393</v>
      </c>
      <c r="C185" t="s">
        <v>26</v>
      </c>
      <c r="D185">
        <v>36</v>
      </c>
      <c r="E185" s="3">
        <v>5.14</v>
      </c>
      <c r="F185" s="3">
        <v>0.66</v>
      </c>
      <c r="G185" s="3">
        <v>50.09</v>
      </c>
      <c r="H185" s="3">
        <v>8.81</v>
      </c>
      <c r="I185" s="3">
        <v>7.24</v>
      </c>
    </row>
    <row r="186" spans="1:9" x14ac:dyDescent="0.3">
      <c r="A186" t="s">
        <v>394</v>
      </c>
      <c r="B186" t="s">
        <v>395</v>
      </c>
      <c r="C186" t="s">
        <v>23</v>
      </c>
      <c r="D186">
        <v>14</v>
      </c>
      <c r="E186" s="3">
        <v>5.24</v>
      </c>
      <c r="F186" s="3">
        <v>1.6</v>
      </c>
      <c r="G186" s="3">
        <v>17.829999999999998</v>
      </c>
      <c r="H186" s="3">
        <v>8.3800000000000008</v>
      </c>
      <c r="I186" s="3">
        <v>20.22</v>
      </c>
    </row>
    <row r="187" spans="1:9" x14ac:dyDescent="0.3">
      <c r="A187" t="s">
        <v>396</v>
      </c>
      <c r="B187" t="s">
        <v>397</v>
      </c>
      <c r="C187" t="s">
        <v>39</v>
      </c>
      <c r="D187">
        <v>17</v>
      </c>
      <c r="E187" s="3">
        <v>5.25</v>
      </c>
      <c r="F187" s="3">
        <v>3.82</v>
      </c>
      <c r="G187" s="3">
        <v>9.52</v>
      </c>
      <c r="H187" s="3">
        <v>5.46</v>
      </c>
      <c r="I187" s="3">
        <v>12.3</v>
      </c>
    </row>
    <row r="188" spans="1:9" x14ac:dyDescent="0.3">
      <c r="A188" t="s">
        <v>398</v>
      </c>
      <c r="B188" t="s">
        <v>399</v>
      </c>
      <c r="C188" t="s">
        <v>23</v>
      </c>
      <c r="D188">
        <v>37</v>
      </c>
      <c r="E188" s="3">
        <v>5.28</v>
      </c>
      <c r="F188" s="3">
        <v>1.48</v>
      </c>
      <c r="G188" s="3">
        <v>21.3</v>
      </c>
      <c r="H188" s="3">
        <v>4.88</v>
      </c>
      <c r="I188" s="3">
        <v>3.12</v>
      </c>
    </row>
    <row r="189" spans="1:9" x14ac:dyDescent="0.3">
      <c r="A189" t="s">
        <v>400</v>
      </c>
      <c r="B189" t="s">
        <v>401</v>
      </c>
      <c r="C189" t="s">
        <v>52</v>
      </c>
      <c r="D189">
        <v>13</v>
      </c>
      <c r="E189" s="3">
        <v>5.56</v>
      </c>
      <c r="F189" s="3">
        <v>2.78</v>
      </c>
      <c r="G189" s="3">
        <v>13.91</v>
      </c>
      <c r="H189" s="3">
        <v>4.63</v>
      </c>
      <c r="I189" s="3">
        <v>9.49</v>
      </c>
    </row>
    <row r="190" spans="1:9" x14ac:dyDescent="0.3">
      <c r="A190" t="s">
        <v>402</v>
      </c>
      <c r="B190" t="s">
        <v>403</v>
      </c>
      <c r="C190" t="s">
        <v>34</v>
      </c>
      <c r="D190">
        <v>42</v>
      </c>
      <c r="E190" s="3">
        <v>5.67</v>
      </c>
      <c r="F190" s="3">
        <v>0.42</v>
      </c>
      <c r="G190" s="3">
        <v>46.67</v>
      </c>
      <c r="H190" s="3">
        <v>5.91</v>
      </c>
      <c r="I190" s="3">
        <v>12.02</v>
      </c>
    </row>
    <row r="191" spans="1:9" x14ac:dyDescent="0.3">
      <c r="A191" t="s">
        <v>404</v>
      </c>
      <c r="B191" t="s">
        <v>405</v>
      </c>
      <c r="C191" t="s">
        <v>332</v>
      </c>
      <c r="D191">
        <v>60</v>
      </c>
      <c r="E191" s="3">
        <v>5.72</v>
      </c>
      <c r="F191" s="3">
        <v>0.8</v>
      </c>
      <c r="G191" s="3">
        <v>79.540000000000006</v>
      </c>
      <c r="H191" s="3">
        <v>12.55</v>
      </c>
      <c r="I191" s="3">
        <v>13.21</v>
      </c>
    </row>
    <row r="192" spans="1:9" x14ac:dyDescent="0.3">
      <c r="A192" t="s">
        <v>406</v>
      </c>
      <c r="B192" t="s">
        <v>407</v>
      </c>
      <c r="C192" t="s">
        <v>23</v>
      </c>
      <c r="D192">
        <v>21</v>
      </c>
      <c r="E192" s="3">
        <v>5.81</v>
      </c>
      <c r="F192" s="3">
        <v>1.74</v>
      </c>
      <c r="G192" s="3">
        <v>29.03</v>
      </c>
      <c r="H192" s="3">
        <v>5.28</v>
      </c>
      <c r="I192" s="3">
        <v>5.33</v>
      </c>
    </row>
    <row r="193" spans="1:9" x14ac:dyDescent="0.3">
      <c r="A193" t="s">
        <v>408</v>
      </c>
      <c r="B193" t="s">
        <v>409</v>
      </c>
      <c r="C193" t="s">
        <v>26</v>
      </c>
      <c r="D193">
        <v>31</v>
      </c>
      <c r="E193" s="3">
        <v>5.86</v>
      </c>
      <c r="F193" s="3">
        <v>2.37</v>
      </c>
      <c r="G193" s="3">
        <v>97.71</v>
      </c>
      <c r="H193" s="3">
        <v>5.0999999999999996</v>
      </c>
      <c r="I193" s="3">
        <v>6.89</v>
      </c>
    </row>
    <row r="194" spans="1:9" x14ac:dyDescent="0.3">
      <c r="A194" t="s">
        <v>410</v>
      </c>
      <c r="B194" t="s">
        <v>411</v>
      </c>
      <c r="C194" t="s">
        <v>105</v>
      </c>
      <c r="D194">
        <v>17</v>
      </c>
      <c r="E194" s="3">
        <v>5.98</v>
      </c>
      <c r="F194" s="3">
        <v>3.99</v>
      </c>
      <c r="G194" s="3">
        <v>10.74</v>
      </c>
      <c r="H194" s="3">
        <v>6.02</v>
      </c>
      <c r="I194" s="3">
        <v>4.9400000000000004</v>
      </c>
    </row>
    <row r="195" spans="1:9" x14ac:dyDescent="0.3">
      <c r="A195" t="s">
        <v>412</v>
      </c>
      <c r="B195" t="s">
        <v>413</v>
      </c>
      <c r="C195" t="s">
        <v>20</v>
      </c>
      <c r="D195">
        <v>23</v>
      </c>
      <c r="E195" s="3">
        <v>6.06</v>
      </c>
      <c r="F195" s="3">
        <v>0.75</v>
      </c>
      <c r="G195" s="3">
        <v>28.23</v>
      </c>
      <c r="H195" s="3">
        <v>4.25</v>
      </c>
      <c r="I195" t="s">
        <v>345</v>
      </c>
    </row>
    <row r="196" spans="1:9" x14ac:dyDescent="0.3">
      <c r="A196" t="s">
        <v>414</v>
      </c>
      <c r="B196" t="s">
        <v>415</v>
      </c>
      <c r="C196" t="s">
        <v>20</v>
      </c>
      <c r="D196">
        <v>9</v>
      </c>
      <c r="E196" s="3">
        <v>6.35</v>
      </c>
      <c r="F196" s="3">
        <v>5.72</v>
      </c>
      <c r="G196" s="3">
        <v>10.17</v>
      </c>
      <c r="H196" t="s">
        <v>345</v>
      </c>
      <c r="I196" s="3">
        <v>12.42</v>
      </c>
    </row>
    <row r="197" spans="1:9" x14ac:dyDescent="0.3">
      <c r="A197" t="s">
        <v>417</v>
      </c>
      <c r="B197" t="s">
        <v>418</v>
      </c>
      <c r="C197" t="s">
        <v>105</v>
      </c>
      <c r="D197">
        <v>17</v>
      </c>
      <c r="E197" s="3">
        <v>6.47</v>
      </c>
      <c r="F197" s="3">
        <v>2.78</v>
      </c>
      <c r="G197" s="3">
        <v>14.34</v>
      </c>
      <c r="H197" s="3">
        <v>11.06</v>
      </c>
      <c r="I197" s="3">
        <v>16.91</v>
      </c>
    </row>
    <row r="198" spans="1:9" x14ac:dyDescent="0.3">
      <c r="A198" t="s">
        <v>419</v>
      </c>
      <c r="B198" t="s">
        <v>420</v>
      </c>
      <c r="C198" t="s">
        <v>20</v>
      </c>
      <c r="D198">
        <v>14</v>
      </c>
      <c r="E198" s="3">
        <v>6.49</v>
      </c>
      <c r="F198" s="3">
        <v>2.1</v>
      </c>
      <c r="G198" s="3">
        <v>210.16</v>
      </c>
      <c r="H198" s="3">
        <v>4.8099999999999996</v>
      </c>
      <c r="I198" s="3">
        <v>7.21</v>
      </c>
    </row>
    <row r="199" spans="1:9" x14ac:dyDescent="0.3">
      <c r="A199" t="s">
        <v>421</v>
      </c>
      <c r="B199" t="s">
        <v>422</v>
      </c>
      <c r="C199" t="s">
        <v>105</v>
      </c>
      <c r="D199">
        <v>11</v>
      </c>
      <c r="E199" s="3">
        <v>6.79</v>
      </c>
      <c r="F199" s="3">
        <v>4.9400000000000004</v>
      </c>
      <c r="G199" s="3">
        <v>64.239999999999995</v>
      </c>
      <c r="H199" s="3">
        <v>9.32</v>
      </c>
      <c r="I199" s="3">
        <v>15.82</v>
      </c>
    </row>
    <row r="200" spans="1:9" x14ac:dyDescent="0.3">
      <c r="A200" t="s">
        <v>423</v>
      </c>
      <c r="B200" t="s">
        <v>424</v>
      </c>
      <c r="C200" t="s">
        <v>20</v>
      </c>
      <c r="D200">
        <v>36</v>
      </c>
      <c r="E200" s="3">
        <v>6.99</v>
      </c>
      <c r="F200" s="3">
        <v>1.22</v>
      </c>
      <c r="G200" s="3">
        <v>27.98</v>
      </c>
      <c r="H200" s="3">
        <v>6.06</v>
      </c>
      <c r="I200" s="3">
        <v>9.7899999999999991</v>
      </c>
    </row>
    <row r="201" spans="1:9" x14ac:dyDescent="0.3">
      <c r="A201" t="s">
        <v>425</v>
      </c>
      <c r="B201" t="s">
        <v>426</v>
      </c>
      <c r="C201" t="s">
        <v>14</v>
      </c>
      <c r="D201">
        <v>14</v>
      </c>
      <c r="E201" s="3">
        <v>7.15</v>
      </c>
      <c r="F201" s="3">
        <v>0.19</v>
      </c>
      <c r="G201" s="3">
        <v>38.799999999999997</v>
      </c>
      <c r="H201" s="3">
        <v>6.55</v>
      </c>
      <c r="I201" s="3">
        <v>4.1399999999999997</v>
      </c>
    </row>
    <row r="202" spans="1:9" x14ac:dyDescent="0.3">
      <c r="A202" t="s">
        <v>427</v>
      </c>
      <c r="B202" t="s">
        <v>428</v>
      </c>
      <c r="C202" t="s">
        <v>20</v>
      </c>
      <c r="D202">
        <v>10</v>
      </c>
      <c r="E202" s="3">
        <v>7.37</v>
      </c>
      <c r="F202" s="3">
        <v>4.4800000000000004</v>
      </c>
      <c r="G202" s="3">
        <v>28.69</v>
      </c>
      <c r="H202" s="3">
        <v>4.5</v>
      </c>
      <c r="I202" s="3">
        <v>9.1999999999999993</v>
      </c>
    </row>
    <row r="203" spans="1:9" x14ac:dyDescent="0.3">
      <c r="A203" t="s">
        <v>429</v>
      </c>
      <c r="B203" t="s">
        <v>430</v>
      </c>
      <c r="C203" t="s">
        <v>23</v>
      </c>
      <c r="D203">
        <v>7</v>
      </c>
      <c r="E203" s="3">
        <v>7.49</v>
      </c>
      <c r="F203" s="3">
        <v>1.06</v>
      </c>
      <c r="G203" s="3">
        <v>65.069999999999993</v>
      </c>
      <c r="H203" s="3">
        <v>9.5399999999999991</v>
      </c>
      <c r="I203" s="3">
        <v>12.58</v>
      </c>
    </row>
    <row r="204" spans="1:9" x14ac:dyDescent="0.3">
      <c r="A204" t="s">
        <v>431</v>
      </c>
      <c r="B204" t="s">
        <v>432</v>
      </c>
      <c r="C204" t="s">
        <v>105</v>
      </c>
      <c r="D204">
        <v>9</v>
      </c>
      <c r="E204" s="3">
        <v>7.5</v>
      </c>
      <c r="F204" s="3">
        <v>3.2</v>
      </c>
      <c r="G204" s="3">
        <v>12.5</v>
      </c>
      <c r="H204" s="3">
        <v>13.33</v>
      </c>
      <c r="I204" t="s">
        <v>345</v>
      </c>
    </row>
    <row r="205" spans="1:9" x14ac:dyDescent="0.3">
      <c r="A205" t="s">
        <v>433</v>
      </c>
      <c r="B205" t="s">
        <v>434</v>
      </c>
      <c r="C205" t="s">
        <v>34</v>
      </c>
      <c r="D205">
        <v>3</v>
      </c>
      <c r="E205" s="3">
        <v>7.5</v>
      </c>
      <c r="F205" s="3">
        <v>6.67</v>
      </c>
      <c r="G205" s="3">
        <v>10</v>
      </c>
      <c r="H205" s="3">
        <v>7.5</v>
      </c>
      <c r="I205" s="3">
        <v>9.31</v>
      </c>
    </row>
    <row r="206" spans="1:9" x14ac:dyDescent="0.3">
      <c r="A206" t="s">
        <v>435</v>
      </c>
      <c r="B206" t="s">
        <v>436</v>
      </c>
      <c r="C206" t="s">
        <v>14</v>
      </c>
      <c r="D206">
        <v>51</v>
      </c>
      <c r="E206" s="3">
        <v>7.62</v>
      </c>
      <c r="F206" s="3">
        <v>0.8</v>
      </c>
      <c r="G206" s="3">
        <v>34.299999999999997</v>
      </c>
      <c r="H206" s="3">
        <v>3.78</v>
      </c>
      <c r="I206" s="3">
        <v>10.23</v>
      </c>
    </row>
    <row r="207" spans="1:9" x14ac:dyDescent="0.3">
      <c r="A207" t="s">
        <v>437</v>
      </c>
      <c r="B207" t="s">
        <v>438</v>
      </c>
      <c r="C207" t="s">
        <v>20</v>
      </c>
      <c r="D207">
        <v>1</v>
      </c>
      <c r="E207" s="3">
        <v>7.62</v>
      </c>
      <c r="F207" s="3">
        <v>7.62</v>
      </c>
      <c r="G207" s="3">
        <v>7.62</v>
      </c>
      <c r="H207" s="3">
        <v>30.47</v>
      </c>
      <c r="I207" s="3">
        <v>28.13</v>
      </c>
    </row>
    <row r="208" spans="1:9" x14ac:dyDescent="0.3">
      <c r="A208" t="s">
        <v>439</v>
      </c>
      <c r="B208" t="s">
        <v>440</v>
      </c>
      <c r="C208" t="s">
        <v>20</v>
      </c>
      <c r="D208">
        <v>22</v>
      </c>
      <c r="E208" s="3">
        <v>7.83</v>
      </c>
      <c r="F208" s="3">
        <v>3.14</v>
      </c>
      <c r="G208" s="3">
        <v>12.55</v>
      </c>
      <c r="H208" s="3">
        <v>8.5299999999999994</v>
      </c>
      <c r="I208" s="3">
        <v>8.3699999999999992</v>
      </c>
    </row>
    <row r="209" spans="1:9" x14ac:dyDescent="0.3">
      <c r="A209" t="s">
        <v>441</v>
      </c>
      <c r="B209" t="s">
        <v>522</v>
      </c>
      <c r="C209" t="s">
        <v>20</v>
      </c>
      <c r="D209">
        <v>7</v>
      </c>
      <c r="E209" s="3">
        <v>7.85</v>
      </c>
      <c r="F209" s="3">
        <v>0.99</v>
      </c>
      <c r="G209" s="3">
        <v>59.16</v>
      </c>
      <c r="H209" s="3">
        <v>7.2</v>
      </c>
      <c r="I209" s="3">
        <v>12.87</v>
      </c>
    </row>
    <row r="210" spans="1:9" x14ac:dyDescent="0.3">
      <c r="A210" t="s">
        <v>443</v>
      </c>
      <c r="B210" t="s">
        <v>444</v>
      </c>
      <c r="C210" t="s">
        <v>105</v>
      </c>
      <c r="D210">
        <v>15</v>
      </c>
      <c r="E210" s="3">
        <v>8</v>
      </c>
      <c r="F210" s="3">
        <v>5</v>
      </c>
      <c r="G210" s="3">
        <v>23</v>
      </c>
      <c r="H210" s="3">
        <v>13.33</v>
      </c>
      <c r="I210" s="3">
        <v>23.09</v>
      </c>
    </row>
    <row r="211" spans="1:9" x14ac:dyDescent="0.3">
      <c r="A211" t="s">
        <v>445</v>
      </c>
      <c r="B211" t="s">
        <v>446</v>
      </c>
      <c r="C211" t="s">
        <v>31</v>
      </c>
      <c r="D211">
        <v>34</v>
      </c>
      <c r="E211" s="3">
        <v>8.15</v>
      </c>
      <c r="F211" s="3">
        <v>0.94</v>
      </c>
      <c r="G211" s="3">
        <v>36.049999999999997</v>
      </c>
      <c r="H211" s="3">
        <v>7.95</v>
      </c>
      <c r="I211" s="3">
        <v>32.71</v>
      </c>
    </row>
    <row r="212" spans="1:9" x14ac:dyDescent="0.3">
      <c r="A212" t="s">
        <v>447</v>
      </c>
      <c r="B212" t="s">
        <v>448</v>
      </c>
      <c r="C212" t="s">
        <v>23</v>
      </c>
      <c r="D212">
        <v>22</v>
      </c>
      <c r="E212" s="3">
        <v>8.16</v>
      </c>
      <c r="F212" s="3">
        <v>1.06</v>
      </c>
      <c r="G212" s="3">
        <v>768.87</v>
      </c>
      <c r="H212" s="3">
        <v>12.06</v>
      </c>
      <c r="I212" s="3">
        <v>4.91</v>
      </c>
    </row>
    <row r="213" spans="1:9" x14ac:dyDescent="0.3">
      <c r="A213" t="s">
        <v>449</v>
      </c>
      <c r="B213" t="s">
        <v>450</v>
      </c>
      <c r="C213" t="s">
        <v>26</v>
      </c>
      <c r="D213">
        <v>21</v>
      </c>
      <c r="E213" s="3">
        <v>8.64</v>
      </c>
      <c r="F213" s="3">
        <v>2.36</v>
      </c>
      <c r="G213" s="3">
        <v>22.67</v>
      </c>
      <c r="H213" s="3">
        <v>11.43</v>
      </c>
      <c r="I213" s="3">
        <v>19.55</v>
      </c>
    </row>
    <row r="214" spans="1:9" x14ac:dyDescent="0.3">
      <c r="A214" t="s">
        <v>451</v>
      </c>
      <c r="B214" t="s">
        <v>452</v>
      </c>
      <c r="C214" t="s">
        <v>14</v>
      </c>
      <c r="D214">
        <v>22</v>
      </c>
      <c r="E214" s="3">
        <v>8.84</v>
      </c>
      <c r="F214" s="3">
        <v>2.06</v>
      </c>
      <c r="G214" s="3">
        <v>59.1</v>
      </c>
      <c r="H214" s="3">
        <v>13.56</v>
      </c>
      <c r="I214" s="3">
        <v>20.25</v>
      </c>
    </row>
    <row r="215" spans="1:9" x14ac:dyDescent="0.3">
      <c r="A215" t="s">
        <v>453</v>
      </c>
      <c r="B215" t="s">
        <v>454</v>
      </c>
      <c r="C215" t="s">
        <v>26</v>
      </c>
      <c r="D215">
        <v>13</v>
      </c>
      <c r="E215" s="3">
        <v>9.0299999999999994</v>
      </c>
      <c r="F215" s="3">
        <v>3.01</v>
      </c>
      <c r="G215" s="3">
        <v>60.21</v>
      </c>
      <c r="H215" s="3">
        <v>8.25</v>
      </c>
      <c r="I215" s="3">
        <v>6.03</v>
      </c>
    </row>
    <row r="216" spans="1:9" x14ac:dyDescent="0.3">
      <c r="A216" t="s">
        <v>455</v>
      </c>
      <c r="B216" t="s">
        <v>456</v>
      </c>
      <c r="C216" t="s">
        <v>105</v>
      </c>
      <c r="D216">
        <v>32</v>
      </c>
      <c r="E216" s="3">
        <v>9.5399999999999991</v>
      </c>
      <c r="F216" s="3">
        <v>3.38</v>
      </c>
      <c r="G216" s="3">
        <v>29.9</v>
      </c>
      <c r="H216" s="3">
        <v>12.5</v>
      </c>
      <c r="I216" s="3">
        <v>18.55</v>
      </c>
    </row>
    <row r="217" spans="1:9" x14ac:dyDescent="0.3">
      <c r="A217" t="s">
        <v>457</v>
      </c>
      <c r="B217" t="s">
        <v>458</v>
      </c>
      <c r="C217" t="s">
        <v>20</v>
      </c>
      <c r="D217">
        <v>28</v>
      </c>
      <c r="E217" s="3">
        <v>9.94</v>
      </c>
      <c r="F217" s="3">
        <v>2.35</v>
      </c>
      <c r="G217" s="3">
        <v>22.87</v>
      </c>
      <c r="H217" s="3">
        <v>10.5</v>
      </c>
      <c r="I217" s="3">
        <v>11.05</v>
      </c>
    </row>
    <row r="218" spans="1:9" x14ac:dyDescent="0.3">
      <c r="A218" t="s">
        <v>459</v>
      </c>
      <c r="B218" t="s">
        <v>460</v>
      </c>
      <c r="C218" t="s">
        <v>105</v>
      </c>
      <c r="D218">
        <v>13</v>
      </c>
      <c r="E218" s="3">
        <v>10.94</v>
      </c>
      <c r="F218" s="3">
        <v>6.25</v>
      </c>
      <c r="G218" s="3">
        <v>24</v>
      </c>
      <c r="H218" s="3">
        <v>9.9499999999999993</v>
      </c>
      <c r="I218" s="3">
        <v>9.57</v>
      </c>
    </row>
    <row r="219" spans="1:9" x14ac:dyDescent="0.3">
      <c r="A219" t="s">
        <v>461</v>
      </c>
      <c r="B219" t="s">
        <v>462</v>
      </c>
      <c r="C219" t="s">
        <v>105</v>
      </c>
      <c r="D219">
        <v>17</v>
      </c>
      <c r="E219" s="3">
        <v>11.97</v>
      </c>
      <c r="F219" s="3">
        <v>4.79</v>
      </c>
      <c r="G219" s="3">
        <v>41.48</v>
      </c>
      <c r="H219" s="3">
        <v>23.05</v>
      </c>
      <c r="I219" s="3">
        <v>26.79</v>
      </c>
    </row>
    <row r="220" spans="1:9" x14ac:dyDescent="0.3">
      <c r="A220" t="s">
        <v>463</v>
      </c>
      <c r="B220" t="s">
        <v>464</v>
      </c>
      <c r="C220" t="s">
        <v>20</v>
      </c>
      <c r="D220">
        <v>2</v>
      </c>
      <c r="E220" s="3">
        <v>13.47</v>
      </c>
      <c r="F220" s="3">
        <v>7.62</v>
      </c>
      <c r="G220" s="3">
        <v>19.32</v>
      </c>
      <c r="H220" s="3">
        <v>16.98</v>
      </c>
      <c r="I220" t="s">
        <v>345</v>
      </c>
    </row>
    <row r="221" spans="1:9" x14ac:dyDescent="0.3">
      <c r="A221" t="s">
        <v>465</v>
      </c>
      <c r="B221" t="s">
        <v>466</v>
      </c>
      <c r="C221" t="s">
        <v>14</v>
      </c>
      <c r="D221">
        <v>17</v>
      </c>
      <c r="E221" s="3">
        <v>15.98</v>
      </c>
      <c r="F221" s="3">
        <v>0.4</v>
      </c>
      <c r="G221" s="3">
        <v>39.94</v>
      </c>
      <c r="H221" s="3">
        <v>15.98</v>
      </c>
      <c r="I221" s="3">
        <v>15.73</v>
      </c>
    </row>
    <row r="222" spans="1:9" x14ac:dyDescent="0.3">
      <c r="A222" t="s">
        <v>467</v>
      </c>
      <c r="B222" t="s">
        <v>468</v>
      </c>
      <c r="C222" t="s">
        <v>332</v>
      </c>
      <c r="D222">
        <v>21</v>
      </c>
      <c r="E222" s="3">
        <v>19.8</v>
      </c>
      <c r="F222" s="3">
        <v>4.17</v>
      </c>
      <c r="G222" s="3">
        <v>100</v>
      </c>
      <c r="H222" s="3">
        <v>28.75</v>
      </c>
      <c r="I222" s="3">
        <v>37.74</v>
      </c>
    </row>
    <row r="223" spans="1:9" x14ac:dyDescent="0.3">
      <c r="A223" t="s">
        <v>469</v>
      </c>
      <c r="B223" t="s">
        <v>470</v>
      </c>
      <c r="C223" t="s">
        <v>20</v>
      </c>
      <c r="D223">
        <v>6</v>
      </c>
      <c r="E223" s="3">
        <v>20.48</v>
      </c>
      <c r="F223" s="3">
        <v>15.54</v>
      </c>
      <c r="G223" s="3">
        <v>27.98</v>
      </c>
      <c r="H223" s="3">
        <v>17.75</v>
      </c>
      <c r="I223" s="3">
        <v>29.96</v>
      </c>
    </row>
    <row r="224" spans="1:9" x14ac:dyDescent="0.3">
      <c r="A224" t="s">
        <v>471</v>
      </c>
      <c r="B224" t="s">
        <v>472</v>
      </c>
      <c r="C224" t="s">
        <v>17</v>
      </c>
      <c r="D224">
        <v>4</v>
      </c>
      <c r="E224" s="3">
        <v>21.41</v>
      </c>
      <c r="F224" s="3">
        <v>7.14</v>
      </c>
      <c r="G224" s="3">
        <v>30.44</v>
      </c>
      <c r="H224" s="3">
        <v>11.44</v>
      </c>
      <c r="I224" s="3">
        <v>19.809999999999999</v>
      </c>
    </row>
    <row r="225" spans="1:9" x14ac:dyDescent="0.3">
      <c r="A225" t="s">
        <v>523</v>
      </c>
      <c r="B225" t="s">
        <v>524</v>
      </c>
      <c r="C225" t="s">
        <v>26</v>
      </c>
      <c r="D225">
        <v>33</v>
      </c>
      <c r="E225" s="3">
        <v>22.37</v>
      </c>
      <c r="F225" s="3">
        <v>1.2</v>
      </c>
      <c r="G225" s="3">
        <v>72.06</v>
      </c>
      <c r="H225" s="3">
        <v>4.78</v>
      </c>
      <c r="I225" s="3">
        <v>11.02</v>
      </c>
    </row>
    <row r="226" spans="1:9" x14ac:dyDescent="0.3">
      <c r="A226" t="s">
        <v>473</v>
      </c>
      <c r="B226" t="s">
        <v>474</v>
      </c>
      <c r="C226" t="s">
        <v>26</v>
      </c>
      <c r="D226">
        <v>15</v>
      </c>
      <c r="E226" s="3">
        <v>23.33</v>
      </c>
      <c r="F226" s="3">
        <v>2.21</v>
      </c>
      <c r="G226" s="3">
        <v>45.16</v>
      </c>
      <c r="H226" s="3">
        <v>23.33</v>
      </c>
      <c r="I226" s="3">
        <v>23.33</v>
      </c>
    </row>
    <row r="227" spans="1:9" x14ac:dyDescent="0.3">
      <c r="A227" t="s">
        <v>475</v>
      </c>
      <c r="B227" t="s">
        <v>476</v>
      </c>
      <c r="C227" t="s">
        <v>26</v>
      </c>
      <c r="D227">
        <v>5</v>
      </c>
      <c r="E227" s="3">
        <v>25.46</v>
      </c>
      <c r="F227" s="3">
        <v>20.37</v>
      </c>
      <c r="G227" s="3">
        <v>25.46</v>
      </c>
      <c r="H227" s="3">
        <v>27.41</v>
      </c>
      <c r="I227" s="3">
        <v>3.59</v>
      </c>
    </row>
    <row r="228" spans="1:9" x14ac:dyDescent="0.3">
      <c r="A228" t="s">
        <v>477</v>
      </c>
      <c r="B228" t="s">
        <v>478</v>
      </c>
      <c r="C228" t="s">
        <v>26</v>
      </c>
      <c r="D228">
        <v>16</v>
      </c>
      <c r="E228" s="3">
        <v>30.97</v>
      </c>
      <c r="F228" s="3">
        <v>13.27</v>
      </c>
      <c r="G228" s="3">
        <v>121.65</v>
      </c>
      <c r="H228" s="3">
        <v>28.26</v>
      </c>
      <c r="I228" s="3">
        <v>5.33</v>
      </c>
    </row>
    <row r="229" spans="1:9" x14ac:dyDescent="0.3">
      <c r="A229" t="s">
        <v>479</v>
      </c>
      <c r="B229" t="s">
        <v>525</v>
      </c>
      <c r="C229" t="s">
        <v>26</v>
      </c>
      <c r="D229">
        <v>4</v>
      </c>
      <c r="E229" s="3">
        <v>39.869999999999997</v>
      </c>
      <c r="F229" s="3">
        <v>38.57</v>
      </c>
      <c r="G229" s="3">
        <v>51.42</v>
      </c>
      <c r="H229" s="3">
        <v>52.5</v>
      </c>
      <c r="I229" s="3">
        <v>6.04</v>
      </c>
    </row>
    <row r="230" spans="1:9" x14ac:dyDescent="0.3">
      <c r="A230" t="s">
        <v>481</v>
      </c>
      <c r="B230" t="s">
        <v>482</v>
      </c>
      <c r="C230" t="s">
        <v>39</v>
      </c>
      <c r="D230">
        <v>4</v>
      </c>
      <c r="E230" s="3">
        <v>44.56</v>
      </c>
      <c r="F230" s="3">
        <v>29.71</v>
      </c>
      <c r="G230" s="3">
        <v>82.26</v>
      </c>
      <c r="H230" s="3">
        <v>40.409999999999997</v>
      </c>
      <c r="I230" s="3">
        <v>55.47</v>
      </c>
    </row>
    <row r="231" spans="1:9" x14ac:dyDescent="0.3">
      <c r="A231" t="s">
        <v>483</v>
      </c>
      <c r="B231" t="s">
        <v>484</v>
      </c>
      <c r="C231" t="s">
        <v>26</v>
      </c>
      <c r="D231">
        <v>4</v>
      </c>
      <c r="E231" s="3">
        <v>49.67</v>
      </c>
      <c r="F231" s="3">
        <v>45.16</v>
      </c>
      <c r="G231" s="3">
        <v>63.22</v>
      </c>
      <c r="H231" s="3">
        <v>12.78</v>
      </c>
      <c r="I231" s="3">
        <v>47.39</v>
      </c>
    </row>
    <row r="232" spans="1:9" x14ac:dyDescent="0.3">
      <c r="A232" t="s">
        <v>417</v>
      </c>
      <c r="B232" t="s">
        <v>485</v>
      </c>
      <c r="C232" t="s">
        <v>105</v>
      </c>
      <c r="E232" t="s">
        <v>416</v>
      </c>
    </row>
    <row r="233" spans="1:9" x14ac:dyDescent="0.3">
      <c r="A233" t="s">
        <v>486</v>
      </c>
      <c r="B233" t="s">
        <v>487</v>
      </c>
      <c r="C233" t="s">
        <v>52</v>
      </c>
      <c r="E233" t="s">
        <v>416</v>
      </c>
    </row>
    <row r="234" spans="1:9" x14ac:dyDescent="0.3">
      <c r="A234" t="s">
        <v>488</v>
      </c>
      <c r="B234" t="s">
        <v>489</v>
      </c>
      <c r="C234" t="s">
        <v>105</v>
      </c>
      <c r="E234" t="s">
        <v>416</v>
      </c>
    </row>
    <row r="235" spans="1:9" x14ac:dyDescent="0.3">
      <c r="A235" t="s">
        <v>490</v>
      </c>
      <c r="B235" t="s">
        <v>491</v>
      </c>
      <c r="C235" t="s">
        <v>20</v>
      </c>
      <c r="E235" t="s">
        <v>416</v>
      </c>
    </row>
    <row r="236" spans="1:9" x14ac:dyDescent="0.3">
      <c r="A236" t="s">
        <v>492</v>
      </c>
      <c r="B236" t="s">
        <v>493</v>
      </c>
      <c r="C236" t="s">
        <v>105</v>
      </c>
      <c r="E236" t="s">
        <v>416</v>
      </c>
    </row>
    <row r="237" spans="1:9" x14ac:dyDescent="0.3">
      <c r="A237" t="s">
        <v>494</v>
      </c>
      <c r="B237" t="s">
        <v>495</v>
      </c>
      <c r="C237" t="s">
        <v>26</v>
      </c>
      <c r="E237" t="s">
        <v>416</v>
      </c>
    </row>
    <row r="238" spans="1:9" x14ac:dyDescent="0.3">
      <c r="A238" t="s">
        <v>224</v>
      </c>
      <c r="B238" t="s">
        <v>415</v>
      </c>
      <c r="C238" t="s">
        <v>20</v>
      </c>
      <c r="E238" t="s">
        <v>416</v>
      </c>
    </row>
    <row r="239" spans="1:9" x14ac:dyDescent="0.3">
      <c r="A239" t="s">
        <v>496</v>
      </c>
      <c r="B239" t="s">
        <v>497</v>
      </c>
      <c r="C239" t="s">
        <v>498</v>
      </c>
      <c r="E239" t="s">
        <v>416</v>
      </c>
    </row>
    <row r="240" spans="1:9" x14ac:dyDescent="0.3">
      <c r="A240" t="s">
        <v>499</v>
      </c>
      <c r="B240" t="s">
        <v>500</v>
      </c>
      <c r="C240" t="s">
        <v>39</v>
      </c>
      <c r="E240" t="s">
        <v>501</v>
      </c>
    </row>
    <row r="241" spans="1:5" x14ac:dyDescent="0.3">
      <c r="A241" t="s">
        <v>502</v>
      </c>
      <c r="B241" t="s">
        <v>503</v>
      </c>
      <c r="C241" t="s">
        <v>20</v>
      </c>
      <c r="E241" t="s">
        <v>416</v>
      </c>
    </row>
    <row r="242" spans="1:5" x14ac:dyDescent="0.3">
      <c r="A242" t="s">
        <v>504</v>
      </c>
      <c r="B242" t="s">
        <v>526</v>
      </c>
      <c r="C242" t="s">
        <v>26</v>
      </c>
      <c r="E242" t="s">
        <v>506</v>
      </c>
    </row>
    <row r="243" spans="1:5" x14ac:dyDescent="0.3">
      <c r="A243" t="s">
        <v>507</v>
      </c>
      <c r="B243" t="s">
        <v>508</v>
      </c>
      <c r="C243" t="s">
        <v>26</v>
      </c>
      <c r="E243" t="s">
        <v>509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3C806-2770-4D8A-8A1E-975638BF6972}">
  <dimension ref="A1:B145"/>
  <sheetViews>
    <sheetView workbookViewId="0">
      <selection sqref="A1:B145"/>
    </sheetView>
  </sheetViews>
  <sheetFormatPr defaultRowHeight="14.4" x14ac:dyDescent="0.3"/>
  <cols>
    <col min="1" max="1" width="9.6640625" customWidth="1"/>
  </cols>
  <sheetData>
    <row r="1" spans="1:2" ht="43.2" x14ac:dyDescent="0.3">
      <c r="A1" t="s">
        <v>1</v>
      </c>
      <c r="B1" s="1" t="s">
        <v>11</v>
      </c>
    </row>
    <row r="2" spans="1:2" x14ac:dyDescent="0.3">
      <c r="A2" t="s">
        <v>405</v>
      </c>
      <c r="B2">
        <v>75.180000000000007</v>
      </c>
    </row>
    <row r="3" spans="1:2" x14ac:dyDescent="0.3">
      <c r="A3" t="s">
        <v>385</v>
      </c>
      <c r="B3">
        <v>117.95</v>
      </c>
    </row>
    <row r="4" spans="1:2" x14ac:dyDescent="0.3">
      <c r="A4" t="s">
        <v>527</v>
      </c>
      <c r="B4">
        <v>108.33</v>
      </c>
    </row>
    <row r="5" spans="1:2" x14ac:dyDescent="0.3">
      <c r="A5" t="s">
        <v>336</v>
      </c>
      <c r="B5">
        <v>44.05</v>
      </c>
    </row>
    <row r="6" spans="1:2" x14ac:dyDescent="0.3">
      <c r="A6" t="s">
        <v>407</v>
      </c>
      <c r="B6">
        <v>134.72999999999999</v>
      </c>
    </row>
    <row r="7" spans="1:2" x14ac:dyDescent="0.3">
      <c r="A7" t="s">
        <v>142</v>
      </c>
      <c r="B7">
        <v>67.989999999999995</v>
      </c>
    </row>
    <row r="8" spans="1:2" x14ac:dyDescent="0.3">
      <c r="A8" t="s">
        <v>78</v>
      </c>
      <c r="B8">
        <v>76.52</v>
      </c>
    </row>
    <row r="9" spans="1:2" x14ac:dyDescent="0.3">
      <c r="A9" t="s">
        <v>395</v>
      </c>
      <c r="B9">
        <v>82.29</v>
      </c>
    </row>
    <row r="10" spans="1:2" x14ac:dyDescent="0.3">
      <c r="A10" t="s">
        <v>399</v>
      </c>
      <c r="B10">
        <v>58.65</v>
      </c>
    </row>
    <row r="11" spans="1:2" x14ac:dyDescent="0.3">
      <c r="A11" t="s">
        <v>267</v>
      </c>
      <c r="B11">
        <v>86.48</v>
      </c>
    </row>
    <row r="12" spans="1:2" x14ac:dyDescent="0.3">
      <c r="A12" t="s">
        <v>424</v>
      </c>
      <c r="B12">
        <v>49.49</v>
      </c>
    </row>
    <row r="13" spans="1:2" x14ac:dyDescent="0.3">
      <c r="A13" t="s">
        <v>152</v>
      </c>
      <c r="B13">
        <v>56.6</v>
      </c>
    </row>
    <row r="14" spans="1:2" x14ac:dyDescent="0.3">
      <c r="A14" t="s">
        <v>94</v>
      </c>
      <c r="B14">
        <v>105.65</v>
      </c>
    </row>
    <row r="15" spans="1:2" x14ac:dyDescent="0.3">
      <c r="A15" t="s">
        <v>172</v>
      </c>
      <c r="B15">
        <v>50.13</v>
      </c>
    </row>
    <row r="16" spans="1:2" x14ac:dyDescent="0.3">
      <c r="A16" t="s">
        <v>446</v>
      </c>
      <c r="B16">
        <v>44.55</v>
      </c>
    </row>
    <row r="17" spans="1:2" x14ac:dyDescent="0.3">
      <c r="A17" t="s">
        <v>436</v>
      </c>
      <c r="B17">
        <v>135.35</v>
      </c>
    </row>
    <row r="18" spans="1:2" x14ac:dyDescent="0.3">
      <c r="A18" t="s">
        <v>207</v>
      </c>
      <c r="B18">
        <v>41.32</v>
      </c>
    </row>
    <row r="19" spans="1:2" x14ac:dyDescent="0.3">
      <c r="A19" t="s">
        <v>321</v>
      </c>
      <c r="B19">
        <v>120.69</v>
      </c>
    </row>
    <row r="20" spans="1:2" x14ac:dyDescent="0.3">
      <c r="A20" t="s">
        <v>126</v>
      </c>
      <c r="B20">
        <v>64.23</v>
      </c>
    </row>
    <row r="21" spans="1:2" x14ac:dyDescent="0.3">
      <c r="A21" t="s">
        <v>128</v>
      </c>
      <c r="B21">
        <v>71.23</v>
      </c>
    </row>
    <row r="22" spans="1:2" x14ac:dyDescent="0.3">
      <c r="A22" t="s">
        <v>183</v>
      </c>
      <c r="B22">
        <v>73.61</v>
      </c>
    </row>
    <row r="23" spans="1:2" x14ac:dyDescent="0.3">
      <c r="A23" t="s">
        <v>403</v>
      </c>
      <c r="B23">
        <v>53.93</v>
      </c>
    </row>
    <row r="24" spans="1:2" x14ac:dyDescent="0.3">
      <c r="A24" t="s">
        <v>334</v>
      </c>
      <c r="B24">
        <v>55.7</v>
      </c>
    </row>
    <row r="25" spans="1:2" x14ac:dyDescent="0.3">
      <c r="A25" t="s">
        <v>41</v>
      </c>
      <c r="B25">
        <v>60.94</v>
      </c>
    </row>
    <row r="26" spans="1:2" x14ac:dyDescent="0.3">
      <c r="A26" t="s">
        <v>331</v>
      </c>
      <c r="B26">
        <v>61.12</v>
      </c>
    </row>
    <row r="27" spans="1:2" x14ac:dyDescent="0.3">
      <c r="A27" t="s">
        <v>355</v>
      </c>
      <c r="B27">
        <v>64.3</v>
      </c>
    </row>
    <row r="28" spans="1:2" x14ac:dyDescent="0.3">
      <c r="A28" t="s">
        <v>158</v>
      </c>
      <c r="B28">
        <v>34.26</v>
      </c>
    </row>
    <row r="29" spans="1:2" x14ac:dyDescent="0.3">
      <c r="A29" t="s">
        <v>213</v>
      </c>
      <c r="B29">
        <v>54.57</v>
      </c>
    </row>
    <row r="30" spans="1:2" x14ac:dyDescent="0.3">
      <c r="A30" t="s">
        <v>305</v>
      </c>
      <c r="B30">
        <v>40.479999999999997</v>
      </c>
    </row>
    <row r="31" spans="1:2" x14ac:dyDescent="0.3">
      <c r="A31" t="s">
        <v>347</v>
      </c>
      <c r="B31">
        <v>33.44</v>
      </c>
    </row>
    <row r="32" spans="1:2" x14ac:dyDescent="0.3">
      <c r="A32" t="s">
        <v>166</v>
      </c>
      <c r="B32">
        <v>45.81</v>
      </c>
    </row>
    <row r="33" spans="1:2" x14ac:dyDescent="0.3">
      <c r="A33" t="s">
        <v>245</v>
      </c>
      <c r="B33">
        <v>44.47</v>
      </c>
    </row>
    <row r="34" spans="1:2" x14ac:dyDescent="0.3">
      <c r="A34" t="s">
        <v>22</v>
      </c>
      <c r="B34">
        <v>37.15</v>
      </c>
    </row>
    <row r="35" spans="1:2" x14ac:dyDescent="0.3">
      <c r="A35" t="s">
        <v>389</v>
      </c>
      <c r="B35">
        <v>16.38</v>
      </c>
    </row>
    <row r="36" spans="1:2" x14ac:dyDescent="0.3">
      <c r="A36" t="s">
        <v>448</v>
      </c>
      <c r="B36">
        <v>59.42</v>
      </c>
    </row>
    <row r="37" spans="1:2" x14ac:dyDescent="0.3">
      <c r="A37" t="s">
        <v>179</v>
      </c>
      <c r="B37">
        <v>48.1</v>
      </c>
    </row>
    <row r="38" spans="1:2" x14ac:dyDescent="0.3">
      <c r="A38" t="s">
        <v>517</v>
      </c>
      <c r="B38">
        <v>47.34</v>
      </c>
    </row>
    <row r="39" spans="1:2" x14ac:dyDescent="0.3">
      <c r="A39" t="s">
        <v>154</v>
      </c>
      <c r="B39">
        <v>36.9</v>
      </c>
    </row>
    <row r="40" spans="1:2" x14ac:dyDescent="0.3">
      <c r="A40" t="s">
        <v>187</v>
      </c>
      <c r="B40">
        <v>102.79</v>
      </c>
    </row>
    <row r="41" spans="1:2" x14ac:dyDescent="0.3">
      <c r="A41" t="s">
        <v>72</v>
      </c>
      <c r="B41">
        <v>40.14</v>
      </c>
    </row>
    <row r="42" spans="1:2" x14ac:dyDescent="0.3">
      <c r="A42" t="s">
        <v>49</v>
      </c>
      <c r="B42">
        <v>33.9</v>
      </c>
    </row>
    <row r="43" spans="1:2" x14ac:dyDescent="0.3">
      <c r="A43" t="s">
        <v>189</v>
      </c>
      <c r="B43">
        <v>34.43</v>
      </c>
    </row>
    <row r="44" spans="1:2" x14ac:dyDescent="0.3">
      <c r="A44" t="s">
        <v>70</v>
      </c>
      <c r="B44">
        <v>30.48</v>
      </c>
    </row>
    <row r="45" spans="1:2" x14ac:dyDescent="0.3">
      <c r="A45" t="s">
        <v>351</v>
      </c>
      <c r="B45">
        <v>29.81</v>
      </c>
    </row>
    <row r="46" spans="1:2" x14ac:dyDescent="0.3">
      <c r="A46" t="s">
        <v>325</v>
      </c>
      <c r="B46">
        <v>47.93</v>
      </c>
    </row>
    <row r="47" spans="1:2" x14ac:dyDescent="0.3">
      <c r="A47" t="s">
        <v>181</v>
      </c>
      <c r="B47">
        <v>30.16</v>
      </c>
    </row>
    <row r="48" spans="1:2" x14ac:dyDescent="0.3">
      <c r="A48" t="s">
        <v>295</v>
      </c>
      <c r="B48">
        <v>33.619999999999997</v>
      </c>
    </row>
    <row r="49" spans="1:2" x14ac:dyDescent="0.3">
      <c r="A49" t="s">
        <v>519</v>
      </c>
    </row>
    <row r="50" spans="1:2" x14ac:dyDescent="0.3">
      <c r="A50" t="s">
        <v>223</v>
      </c>
      <c r="B50">
        <v>30.4</v>
      </c>
    </row>
    <row r="51" spans="1:2" x14ac:dyDescent="0.3">
      <c r="A51" t="s">
        <v>273</v>
      </c>
      <c r="B51">
        <v>20.64</v>
      </c>
    </row>
    <row r="52" spans="1:2" x14ac:dyDescent="0.3">
      <c r="A52" t="s">
        <v>111</v>
      </c>
      <c r="B52">
        <v>27.84</v>
      </c>
    </row>
    <row r="53" spans="1:2" x14ac:dyDescent="0.3">
      <c r="A53" t="s">
        <v>319</v>
      </c>
      <c r="B53">
        <v>23.41</v>
      </c>
    </row>
    <row r="54" spans="1:2" x14ac:dyDescent="0.3">
      <c r="A54" t="s">
        <v>96</v>
      </c>
      <c r="B54">
        <v>96.23</v>
      </c>
    </row>
    <row r="55" spans="1:2" x14ac:dyDescent="0.3">
      <c r="A55" t="s">
        <v>243</v>
      </c>
      <c r="B55">
        <v>53.08</v>
      </c>
    </row>
    <row r="56" spans="1:2" x14ac:dyDescent="0.3">
      <c r="A56" t="s">
        <v>255</v>
      </c>
      <c r="B56">
        <v>71.38</v>
      </c>
    </row>
    <row r="57" spans="1:2" x14ac:dyDescent="0.3">
      <c r="A57" t="s">
        <v>193</v>
      </c>
      <c r="B57">
        <v>24.9</v>
      </c>
    </row>
    <row r="58" spans="1:2" x14ac:dyDescent="0.3">
      <c r="A58" t="s">
        <v>140</v>
      </c>
      <c r="B58">
        <v>22.64</v>
      </c>
    </row>
    <row r="59" spans="1:2" x14ac:dyDescent="0.3">
      <c r="A59" t="s">
        <v>119</v>
      </c>
      <c r="B59">
        <v>22.3</v>
      </c>
    </row>
    <row r="60" spans="1:2" x14ac:dyDescent="0.3">
      <c r="A60" t="s">
        <v>13</v>
      </c>
      <c r="B60">
        <v>28.01</v>
      </c>
    </row>
    <row r="61" spans="1:2" x14ac:dyDescent="0.3">
      <c r="A61" t="s">
        <v>229</v>
      </c>
      <c r="B61">
        <v>17.3</v>
      </c>
    </row>
    <row r="62" spans="1:2" x14ac:dyDescent="0.3">
      <c r="A62" t="s">
        <v>28</v>
      </c>
      <c r="B62">
        <v>20.46</v>
      </c>
    </row>
    <row r="63" spans="1:2" x14ac:dyDescent="0.3">
      <c r="A63" t="s">
        <v>82</v>
      </c>
      <c r="B63">
        <v>15.62</v>
      </c>
    </row>
    <row r="64" spans="1:2" x14ac:dyDescent="0.3">
      <c r="A64" t="s">
        <v>269</v>
      </c>
      <c r="B64">
        <v>17.46</v>
      </c>
    </row>
    <row r="65" spans="1:2" x14ac:dyDescent="0.3">
      <c r="A65" t="s">
        <v>38</v>
      </c>
      <c r="B65">
        <v>22.49</v>
      </c>
    </row>
    <row r="66" spans="1:2" x14ac:dyDescent="0.3">
      <c r="A66" t="s">
        <v>253</v>
      </c>
      <c r="B66">
        <v>14.1</v>
      </c>
    </row>
    <row r="67" spans="1:2" x14ac:dyDescent="0.3">
      <c r="A67" t="s">
        <v>197</v>
      </c>
      <c r="B67">
        <v>20.73</v>
      </c>
    </row>
    <row r="68" spans="1:2" x14ac:dyDescent="0.3">
      <c r="A68" t="s">
        <v>307</v>
      </c>
      <c r="B68">
        <v>12.35</v>
      </c>
    </row>
    <row r="69" spans="1:2" x14ac:dyDescent="0.3">
      <c r="A69" t="s">
        <v>134</v>
      </c>
      <c r="B69">
        <v>17.7</v>
      </c>
    </row>
    <row r="70" spans="1:2" x14ac:dyDescent="0.3">
      <c r="A70" t="s">
        <v>177</v>
      </c>
      <c r="B70">
        <v>19.47</v>
      </c>
    </row>
    <row r="71" spans="1:2" x14ac:dyDescent="0.3">
      <c r="A71" t="s">
        <v>150</v>
      </c>
      <c r="B71">
        <v>15.64</v>
      </c>
    </row>
    <row r="72" spans="1:2" x14ac:dyDescent="0.3">
      <c r="A72" t="s">
        <v>130</v>
      </c>
      <c r="B72">
        <v>5.5</v>
      </c>
    </row>
    <row r="73" spans="1:2" x14ac:dyDescent="0.3">
      <c r="A73" t="s">
        <v>60</v>
      </c>
      <c r="B73">
        <v>18.71</v>
      </c>
    </row>
    <row r="74" spans="1:2" x14ac:dyDescent="0.3">
      <c r="A74" t="s">
        <v>191</v>
      </c>
      <c r="B74">
        <v>20.7</v>
      </c>
    </row>
    <row r="75" spans="1:2" x14ac:dyDescent="0.3">
      <c r="A75" t="s">
        <v>113</v>
      </c>
      <c r="B75">
        <v>25.87</v>
      </c>
    </row>
    <row r="76" spans="1:2" x14ac:dyDescent="0.3">
      <c r="A76" t="s">
        <v>259</v>
      </c>
      <c r="B76">
        <v>16.93</v>
      </c>
    </row>
    <row r="77" spans="1:2" x14ac:dyDescent="0.3">
      <c r="A77" t="s">
        <v>45</v>
      </c>
      <c r="B77">
        <v>9.99</v>
      </c>
    </row>
    <row r="78" spans="1:2" x14ac:dyDescent="0.3">
      <c r="A78" t="s">
        <v>281</v>
      </c>
      <c r="B78">
        <v>15.15</v>
      </c>
    </row>
    <row r="79" spans="1:2" x14ac:dyDescent="0.3">
      <c r="A79" t="s">
        <v>132</v>
      </c>
      <c r="B79">
        <v>19.73</v>
      </c>
    </row>
    <row r="80" spans="1:2" x14ac:dyDescent="0.3">
      <c r="A80" t="s">
        <v>16</v>
      </c>
      <c r="B80">
        <v>16.3</v>
      </c>
    </row>
    <row r="81" spans="1:2" x14ac:dyDescent="0.3">
      <c r="A81" t="s">
        <v>36</v>
      </c>
      <c r="B81">
        <v>13.15</v>
      </c>
    </row>
    <row r="82" spans="1:2" x14ac:dyDescent="0.3">
      <c r="A82" t="s">
        <v>43</v>
      </c>
      <c r="B82">
        <v>17.7</v>
      </c>
    </row>
    <row r="83" spans="1:2" x14ac:dyDescent="0.3">
      <c r="A83" t="s">
        <v>136</v>
      </c>
      <c r="B83">
        <v>33.49</v>
      </c>
    </row>
    <row r="84" spans="1:2" x14ac:dyDescent="0.3">
      <c r="A84" t="s">
        <v>121</v>
      </c>
      <c r="B84">
        <v>21.44</v>
      </c>
    </row>
    <row r="85" spans="1:2" x14ac:dyDescent="0.3">
      <c r="A85" t="s">
        <v>217</v>
      </c>
      <c r="B85">
        <v>19.48</v>
      </c>
    </row>
    <row r="86" spans="1:2" x14ac:dyDescent="0.3">
      <c r="A86" t="s">
        <v>377</v>
      </c>
      <c r="B86">
        <v>17.03</v>
      </c>
    </row>
    <row r="87" spans="1:2" x14ac:dyDescent="0.3">
      <c r="A87" t="s">
        <v>58</v>
      </c>
      <c r="B87">
        <v>16.73</v>
      </c>
    </row>
    <row r="88" spans="1:2" x14ac:dyDescent="0.3">
      <c r="A88" t="s">
        <v>76</v>
      </c>
      <c r="B88">
        <v>13.67</v>
      </c>
    </row>
    <row r="89" spans="1:2" x14ac:dyDescent="0.3">
      <c r="A89" t="s">
        <v>100</v>
      </c>
      <c r="B89">
        <v>16.12</v>
      </c>
    </row>
    <row r="90" spans="1:2" x14ac:dyDescent="0.3">
      <c r="A90" t="s">
        <v>68</v>
      </c>
      <c r="B90">
        <v>16.45</v>
      </c>
    </row>
    <row r="91" spans="1:2" x14ac:dyDescent="0.3">
      <c r="A91" t="s">
        <v>117</v>
      </c>
      <c r="B91">
        <v>11.88</v>
      </c>
    </row>
    <row r="92" spans="1:2" x14ac:dyDescent="0.3">
      <c r="A92" t="s">
        <v>528</v>
      </c>
      <c r="B92">
        <v>9.92</v>
      </c>
    </row>
    <row r="93" spans="1:2" x14ac:dyDescent="0.3">
      <c r="A93" t="s">
        <v>107</v>
      </c>
      <c r="B93">
        <v>18.920000000000002</v>
      </c>
    </row>
    <row r="94" spans="1:2" x14ac:dyDescent="0.3">
      <c r="A94" t="s">
        <v>33</v>
      </c>
      <c r="B94">
        <v>10.43</v>
      </c>
    </row>
    <row r="95" spans="1:2" x14ac:dyDescent="0.3">
      <c r="A95" t="s">
        <v>74</v>
      </c>
      <c r="B95">
        <v>8.44</v>
      </c>
    </row>
    <row r="96" spans="1:2" x14ac:dyDescent="0.3">
      <c r="A96" t="s">
        <v>64</v>
      </c>
      <c r="B96">
        <v>7.95</v>
      </c>
    </row>
    <row r="97" spans="1:2" x14ac:dyDescent="0.3">
      <c r="A97" t="s">
        <v>62</v>
      </c>
      <c r="B97">
        <v>13.27</v>
      </c>
    </row>
    <row r="98" spans="1:2" x14ac:dyDescent="0.3">
      <c r="A98" t="s">
        <v>51</v>
      </c>
      <c r="B98">
        <v>12.44</v>
      </c>
    </row>
    <row r="99" spans="1:2" x14ac:dyDescent="0.3">
      <c r="A99" t="s">
        <v>170</v>
      </c>
      <c r="B99">
        <v>21.03</v>
      </c>
    </row>
    <row r="100" spans="1:2" x14ac:dyDescent="0.3">
      <c r="A100" t="s">
        <v>84</v>
      </c>
      <c r="B100">
        <v>10.39</v>
      </c>
    </row>
    <row r="101" spans="1:2" x14ac:dyDescent="0.3">
      <c r="A101" t="s">
        <v>148</v>
      </c>
      <c r="B101">
        <v>39.9</v>
      </c>
    </row>
    <row r="102" spans="1:2" x14ac:dyDescent="0.3">
      <c r="A102" t="s">
        <v>263</v>
      </c>
      <c r="B102">
        <v>87.51</v>
      </c>
    </row>
    <row r="103" spans="1:2" x14ac:dyDescent="0.3">
      <c r="A103" t="s">
        <v>54</v>
      </c>
      <c r="B103">
        <v>83.43</v>
      </c>
    </row>
    <row r="104" spans="1:2" x14ac:dyDescent="0.3">
      <c r="A104" t="s">
        <v>313</v>
      </c>
      <c r="B104">
        <v>82.85</v>
      </c>
    </row>
    <row r="105" spans="1:2" x14ac:dyDescent="0.3">
      <c r="A105" t="s">
        <v>452</v>
      </c>
      <c r="B105">
        <v>75.48</v>
      </c>
    </row>
    <row r="106" spans="1:2" x14ac:dyDescent="0.3">
      <c r="A106" t="s">
        <v>247</v>
      </c>
      <c r="B106">
        <v>41.93</v>
      </c>
    </row>
    <row r="107" spans="1:2" x14ac:dyDescent="0.3">
      <c r="A107" t="s">
        <v>175</v>
      </c>
      <c r="B107">
        <v>55.07</v>
      </c>
    </row>
    <row r="108" spans="1:2" x14ac:dyDescent="0.3">
      <c r="A108" t="s">
        <v>227</v>
      </c>
      <c r="B108">
        <v>50.16</v>
      </c>
    </row>
    <row r="109" spans="1:2" x14ac:dyDescent="0.3">
      <c r="A109" t="s">
        <v>239</v>
      </c>
      <c r="B109">
        <v>49.66</v>
      </c>
    </row>
    <row r="110" spans="1:2" x14ac:dyDescent="0.3">
      <c r="A110" t="s">
        <v>342</v>
      </c>
      <c r="B110">
        <v>41.6</v>
      </c>
    </row>
    <row r="111" spans="1:2" x14ac:dyDescent="0.3">
      <c r="A111" t="s">
        <v>231</v>
      </c>
      <c r="B111">
        <v>40.700000000000003</v>
      </c>
    </row>
    <row r="112" spans="1:2" x14ac:dyDescent="0.3">
      <c r="A112" t="s">
        <v>383</v>
      </c>
      <c r="B112">
        <v>34.42</v>
      </c>
    </row>
    <row r="113" spans="1:2" x14ac:dyDescent="0.3">
      <c r="A113" t="s">
        <v>297</v>
      </c>
      <c r="B113">
        <v>30.84</v>
      </c>
    </row>
    <row r="114" spans="1:2" x14ac:dyDescent="0.3">
      <c r="A114" t="s">
        <v>219</v>
      </c>
      <c r="B114">
        <v>30.67</v>
      </c>
    </row>
    <row r="115" spans="1:2" x14ac:dyDescent="0.3">
      <c r="A115" t="s">
        <v>30</v>
      </c>
      <c r="B115">
        <v>29.46</v>
      </c>
    </row>
    <row r="116" spans="1:2" x14ac:dyDescent="0.3">
      <c r="A116" t="s">
        <v>275</v>
      </c>
      <c r="B116">
        <v>28.49</v>
      </c>
    </row>
    <row r="117" spans="1:2" x14ac:dyDescent="0.3">
      <c r="A117" t="s">
        <v>225</v>
      </c>
      <c r="B117">
        <v>28.37</v>
      </c>
    </row>
    <row r="118" spans="1:2" x14ac:dyDescent="0.3">
      <c r="A118" t="s">
        <v>411</v>
      </c>
      <c r="B118">
        <v>26.77</v>
      </c>
    </row>
    <row r="119" spans="1:2" x14ac:dyDescent="0.3">
      <c r="A119" t="s">
        <v>19</v>
      </c>
      <c r="B119">
        <v>25.99</v>
      </c>
    </row>
    <row r="120" spans="1:2" x14ac:dyDescent="0.3">
      <c r="A120" t="s">
        <v>529</v>
      </c>
      <c r="B120">
        <v>24.63</v>
      </c>
    </row>
    <row r="121" spans="1:2" x14ac:dyDescent="0.3">
      <c r="A121" t="s">
        <v>359</v>
      </c>
      <c r="B121">
        <v>24.14</v>
      </c>
    </row>
    <row r="122" spans="1:2" x14ac:dyDescent="0.3">
      <c r="A122" t="s">
        <v>92</v>
      </c>
      <c r="B122">
        <v>24.06</v>
      </c>
    </row>
    <row r="123" spans="1:2" x14ac:dyDescent="0.3">
      <c r="A123" t="s">
        <v>201</v>
      </c>
      <c r="B123">
        <v>22.59</v>
      </c>
    </row>
    <row r="124" spans="1:2" x14ac:dyDescent="0.3">
      <c r="A124" t="s">
        <v>90</v>
      </c>
      <c r="B124">
        <v>22.01</v>
      </c>
    </row>
    <row r="125" spans="1:2" x14ac:dyDescent="0.3">
      <c r="A125" t="s">
        <v>211</v>
      </c>
      <c r="B125">
        <v>21.08</v>
      </c>
    </row>
    <row r="126" spans="1:2" x14ac:dyDescent="0.3">
      <c r="A126" t="s">
        <v>524</v>
      </c>
      <c r="B126">
        <v>18.43</v>
      </c>
    </row>
    <row r="127" spans="1:2" x14ac:dyDescent="0.3">
      <c r="A127" t="s">
        <v>123</v>
      </c>
      <c r="B127">
        <v>18.3</v>
      </c>
    </row>
    <row r="128" spans="1:2" x14ac:dyDescent="0.3">
      <c r="A128" t="s">
        <v>86</v>
      </c>
      <c r="B128">
        <v>18.09</v>
      </c>
    </row>
    <row r="129" spans="1:2" x14ac:dyDescent="0.3">
      <c r="A129" t="s">
        <v>476</v>
      </c>
      <c r="B129">
        <v>17.95</v>
      </c>
    </row>
    <row r="130" spans="1:2" x14ac:dyDescent="0.3">
      <c r="A130" t="s">
        <v>466</v>
      </c>
      <c r="B130">
        <v>16.89</v>
      </c>
    </row>
    <row r="131" spans="1:2" x14ac:dyDescent="0.3">
      <c r="A131" t="s">
        <v>66</v>
      </c>
      <c r="B131">
        <v>16.690000000000001</v>
      </c>
    </row>
    <row r="132" spans="1:2" x14ac:dyDescent="0.3">
      <c r="A132" t="s">
        <v>389</v>
      </c>
      <c r="B132">
        <v>16.38</v>
      </c>
    </row>
    <row r="133" spans="1:2" x14ac:dyDescent="0.3">
      <c r="A133" t="s">
        <v>195</v>
      </c>
      <c r="B133">
        <v>15.99</v>
      </c>
    </row>
    <row r="134" spans="1:2" x14ac:dyDescent="0.3">
      <c r="A134" t="s">
        <v>303</v>
      </c>
      <c r="B134">
        <v>15.66</v>
      </c>
    </row>
    <row r="135" spans="1:2" x14ac:dyDescent="0.3">
      <c r="A135" t="s">
        <v>508</v>
      </c>
      <c r="B135">
        <v>13.99</v>
      </c>
    </row>
    <row r="136" spans="1:2" x14ac:dyDescent="0.3">
      <c r="A136" t="s">
        <v>426</v>
      </c>
      <c r="B136">
        <v>13.24</v>
      </c>
    </row>
    <row r="137" spans="1:2" x14ac:dyDescent="0.3">
      <c r="A137" t="s">
        <v>104</v>
      </c>
      <c r="B137">
        <v>12.49</v>
      </c>
    </row>
    <row r="138" spans="1:2" x14ac:dyDescent="0.3">
      <c r="A138" t="s">
        <v>530</v>
      </c>
      <c r="B138">
        <v>12.08</v>
      </c>
    </row>
    <row r="139" spans="1:2" x14ac:dyDescent="0.3">
      <c r="A139" t="s">
        <v>80</v>
      </c>
      <c r="B139">
        <v>10.4</v>
      </c>
    </row>
    <row r="140" spans="1:2" x14ac:dyDescent="0.3">
      <c r="A140" t="s">
        <v>146</v>
      </c>
      <c r="B140">
        <v>10.36</v>
      </c>
    </row>
    <row r="141" spans="1:2" x14ac:dyDescent="0.3">
      <c r="A141" t="s">
        <v>25</v>
      </c>
      <c r="B141">
        <v>9.5</v>
      </c>
    </row>
    <row r="142" spans="1:2" x14ac:dyDescent="0.3">
      <c r="A142" t="s">
        <v>432</v>
      </c>
      <c r="B142">
        <v>9.1</v>
      </c>
    </row>
    <row r="143" spans="1:2" x14ac:dyDescent="0.3">
      <c r="A143" t="s">
        <v>287</v>
      </c>
      <c r="B143">
        <v>7.05</v>
      </c>
    </row>
    <row r="144" spans="1:2" x14ac:dyDescent="0.3">
      <c r="A144" t="s">
        <v>500</v>
      </c>
      <c r="B144">
        <v>5.68</v>
      </c>
    </row>
    <row r="145" spans="1:2" x14ac:dyDescent="0.3">
      <c r="A145" t="s">
        <v>209</v>
      </c>
      <c r="B145">
        <v>4.8899999999999997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9CCE4-B691-4648-B94B-E3AB8DBCE0A6}">
  <dimension ref="A1:E215"/>
  <sheetViews>
    <sheetView workbookViewId="0">
      <selection activeCell="G15" sqref="G15"/>
    </sheetView>
  </sheetViews>
  <sheetFormatPr defaultRowHeight="14.4" x14ac:dyDescent="0.3"/>
  <cols>
    <col min="1" max="1" width="16" customWidth="1"/>
    <col min="2" max="2" width="11.44140625" customWidth="1"/>
    <col min="4" max="4" width="14.44140625" customWidth="1"/>
    <col min="5" max="5" width="12.33203125" bestFit="1" customWidth="1"/>
  </cols>
  <sheetData>
    <row r="1" spans="1:5" x14ac:dyDescent="0.3">
      <c r="A1" t="s">
        <v>531</v>
      </c>
      <c r="B1" t="s">
        <v>532</v>
      </c>
      <c r="C1" t="s">
        <v>533</v>
      </c>
      <c r="D1" t="s">
        <v>9</v>
      </c>
      <c r="E1" t="s">
        <v>10</v>
      </c>
    </row>
    <row r="2" spans="1:5" x14ac:dyDescent="0.3">
      <c r="A2" t="s">
        <v>54</v>
      </c>
      <c r="B2" t="s">
        <v>534</v>
      </c>
      <c r="C2" t="s">
        <v>535</v>
      </c>
      <c r="D2" s="2">
        <v>1010740000</v>
      </c>
      <c r="E2" s="2">
        <v>1427647786</v>
      </c>
    </row>
    <row r="3" spans="1:5" x14ac:dyDescent="0.3">
      <c r="A3" t="s">
        <v>76</v>
      </c>
      <c r="B3" t="s">
        <v>536</v>
      </c>
      <c r="C3" t="s">
        <v>535</v>
      </c>
      <c r="D3" s="2">
        <v>833710000</v>
      </c>
      <c r="E3" s="2">
        <v>1352642280</v>
      </c>
    </row>
    <row r="4" spans="1:5" x14ac:dyDescent="0.3">
      <c r="A4" t="s">
        <v>331</v>
      </c>
      <c r="B4" t="s">
        <v>537</v>
      </c>
      <c r="C4" t="s">
        <v>538</v>
      </c>
      <c r="D4" s="2">
        <v>312320000</v>
      </c>
      <c r="E4" s="2">
        <v>327096265</v>
      </c>
    </row>
    <row r="5" spans="1:5" x14ac:dyDescent="0.3">
      <c r="A5" t="s">
        <v>43</v>
      </c>
      <c r="B5" t="s">
        <v>539</v>
      </c>
      <c r="C5" t="s">
        <v>535</v>
      </c>
      <c r="D5" s="2">
        <v>196000000</v>
      </c>
      <c r="E5" s="2">
        <v>267670543</v>
      </c>
    </row>
    <row r="6" spans="1:5" x14ac:dyDescent="0.3">
      <c r="A6" t="s">
        <v>119</v>
      </c>
      <c r="B6" t="s">
        <v>540</v>
      </c>
      <c r="C6" t="s">
        <v>538</v>
      </c>
      <c r="D6" s="2">
        <v>160010801</v>
      </c>
      <c r="E6" s="2">
        <v>209469323</v>
      </c>
    </row>
    <row r="7" spans="1:5" x14ac:dyDescent="0.3">
      <c r="A7" t="s">
        <v>107</v>
      </c>
      <c r="B7" t="s">
        <v>541</v>
      </c>
      <c r="C7" t="s">
        <v>542</v>
      </c>
      <c r="D7" s="2">
        <v>136203231</v>
      </c>
      <c r="E7" s="2">
        <v>195874685</v>
      </c>
    </row>
    <row r="8" spans="1:5" x14ac:dyDescent="0.3">
      <c r="A8" t="s">
        <v>33</v>
      </c>
      <c r="B8" t="s">
        <v>536</v>
      </c>
      <c r="C8" t="s">
        <v>535</v>
      </c>
      <c r="D8" s="2">
        <v>129180000</v>
      </c>
      <c r="E8" s="2">
        <v>166303498</v>
      </c>
    </row>
    <row r="9" spans="1:5" x14ac:dyDescent="0.3">
      <c r="A9" t="s">
        <v>28</v>
      </c>
      <c r="B9" t="s">
        <v>543</v>
      </c>
      <c r="C9" t="s">
        <v>498</v>
      </c>
      <c r="D9" s="2">
        <v>124000000</v>
      </c>
      <c r="E9" s="2">
        <v>145734038</v>
      </c>
    </row>
    <row r="10" spans="1:5" x14ac:dyDescent="0.3">
      <c r="A10" t="s">
        <v>58</v>
      </c>
      <c r="B10" t="s">
        <v>536</v>
      </c>
      <c r="C10" t="s">
        <v>535</v>
      </c>
      <c r="D10" s="2">
        <v>118800000</v>
      </c>
      <c r="E10" s="2">
        <v>213756286</v>
      </c>
    </row>
    <row r="11" spans="1:5" x14ac:dyDescent="0.3">
      <c r="A11" t="s">
        <v>336</v>
      </c>
      <c r="B11" t="s">
        <v>534</v>
      </c>
      <c r="C11" t="s">
        <v>535</v>
      </c>
      <c r="D11" s="2">
        <v>117400000</v>
      </c>
      <c r="E11" s="2">
        <v>127202192</v>
      </c>
    </row>
    <row r="12" spans="1:5" x14ac:dyDescent="0.3">
      <c r="A12" t="s">
        <v>351</v>
      </c>
      <c r="B12" t="s">
        <v>537</v>
      </c>
      <c r="C12" t="s">
        <v>538</v>
      </c>
      <c r="D12" s="2">
        <v>92010000</v>
      </c>
      <c r="E12" s="2">
        <v>128972439</v>
      </c>
    </row>
    <row r="13" spans="1:5" x14ac:dyDescent="0.3">
      <c r="A13" t="s">
        <v>193</v>
      </c>
      <c r="B13" t="s">
        <v>544</v>
      </c>
      <c r="C13" t="s">
        <v>535</v>
      </c>
      <c r="D13" s="2">
        <v>78086663</v>
      </c>
      <c r="E13" s="2">
        <v>81800188</v>
      </c>
    </row>
    <row r="14" spans="1:5" x14ac:dyDescent="0.3">
      <c r="A14" t="s">
        <v>334</v>
      </c>
      <c r="B14" t="s">
        <v>545</v>
      </c>
      <c r="C14" t="s">
        <v>498</v>
      </c>
      <c r="D14" s="2">
        <v>77794405</v>
      </c>
      <c r="E14" s="2">
        <v>83124418</v>
      </c>
    </row>
    <row r="15" spans="1:5" x14ac:dyDescent="0.3">
      <c r="A15" t="s">
        <v>217</v>
      </c>
      <c r="B15" t="s">
        <v>539</v>
      </c>
      <c r="C15" t="s">
        <v>535</v>
      </c>
      <c r="D15" s="2">
        <v>73003313</v>
      </c>
      <c r="E15" s="2">
        <v>106651394</v>
      </c>
    </row>
    <row r="16" spans="1:5" x14ac:dyDescent="0.3">
      <c r="A16" t="s">
        <v>70</v>
      </c>
      <c r="B16" t="s">
        <v>546</v>
      </c>
      <c r="C16" t="s">
        <v>498</v>
      </c>
      <c r="D16" s="2">
        <v>69945905</v>
      </c>
      <c r="E16" s="2">
        <v>82340088</v>
      </c>
    </row>
    <row r="17" spans="1:5" x14ac:dyDescent="0.3">
      <c r="A17" t="s">
        <v>49</v>
      </c>
      <c r="B17" t="s">
        <v>539</v>
      </c>
      <c r="C17" t="s">
        <v>535</v>
      </c>
      <c r="D17" s="2">
        <v>68172134</v>
      </c>
      <c r="E17" s="2">
        <v>95545962</v>
      </c>
    </row>
    <row r="18" spans="1:5" x14ac:dyDescent="0.3">
      <c r="A18" t="s">
        <v>179</v>
      </c>
      <c r="B18" t="s">
        <v>547</v>
      </c>
      <c r="C18" t="s">
        <v>498</v>
      </c>
      <c r="D18" s="2">
        <v>65001016</v>
      </c>
      <c r="E18" s="2">
        <v>67141684</v>
      </c>
    </row>
    <row r="19" spans="1:5" x14ac:dyDescent="0.3">
      <c r="A19" t="s">
        <v>41</v>
      </c>
      <c r="B19" t="s">
        <v>545</v>
      </c>
      <c r="C19" t="s">
        <v>498</v>
      </c>
      <c r="D19" s="2">
        <v>59470000</v>
      </c>
      <c r="E19" s="2">
        <v>64990511</v>
      </c>
    </row>
    <row r="20" spans="1:5" x14ac:dyDescent="0.3">
      <c r="A20" t="s">
        <v>132</v>
      </c>
      <c r="B20" t="s">
        <v>548</v>
      </c>
      <c r="C20" t="s">
        <v>542</v>
      </c>
      <c r="D20" s="2">
        <v>54740141</v>
      </c>
      <c r="E20" s="2">
        <v>98423598</v>
      </c>
    </row>
    <row r="21" spans="1:5" x14ac:dyDescent="0.3">
      <c r="A21" t="s">
        <v>385</v>
      </c>
      <c r="B21" t="s">
        <v>534</v>
      </c>
      <c r="C21" t="s">
        <v>535</v>
      </c>
      <c r="D21" s="2">
        <v>49421084</v>
      </c>
      <c r="E21" s="2">
        <v>51171706</v>
      </c>
    </row>
    <row r="22" spans="1:5" x14ac:dyDescent="0.3">
      <c r="A22" t="s">
        <v>158</v>
      </c>
      <c r="B22" t="s">
        <v>546</v>
      </c>
      <c r="C22" t="s">
        <v>498</v>
      </c>
      <c r="D22" s="2">
        <v>42400756</v>
      </c>
      <c r="E22" s="2">
        <v>46692858</v>
      </c>
    </row>
    <row r="23" spans="1:5" x14ac:dyDescent="0.3">
      <c r="A23" t="s">
        <v>136</v>
      </c>
      <c r="B23" t="s">
        <v>539</v>
      </c>
      <c r="C23" t="s">
        <v>535</v>
      </c>
      <c r="D23" s="2">
        <v>54043108</v>
      </c>
      <c r="E23" s="2">
        <v>69428453</v>
      </c>
    </row>
    <row r="24" spans="1:5" x14ac:dyDescent="0.3">
      <c r="A24" t="s">
        <v>22</v>
      </c>
      <c r="B24" t="s">
        <v>546</v>
      </c>
      <c r="C24" t="s">
        <v>498</v>
      </c>
      <c r="D24" s="2">
        <v>50540000</v>
      </c>
      <c r="E24" s="2">
        <v>60627291</v>
      </c>
    </row>
    <row r="25" spans="1:5" x14ac:dyDescent="0.3">
      <c r="A25" t="s">
        <v>72</v>
      </c>
      <c r="B25" t="s">
        <v>543</v>
      </c>
      <c r="C25" t="s">
        <v>498</v>
      </c>
      <c r="D25" s="2">
        <v>34697848</v>
      </c>
      <c r="E25" s="2">
        <v>37921592</v>
      </c>
    </row>
    <row r="26" spans="1:5" x14ac:dyDescent="0.3">
      <c r="A26" t="s">
        <v>405</v>
      </c>
      <c r="B26" t="s">
        <v>537</v>
      </c>
      <c r="C26" t="s">
        <v>538</v>
      </c>
      <c r="D26" s="2">
        <v>33950632</v>
      </c>
      <c r="E26" s="2">
        <v>37064562</v>
      </c>
    </row>
    <row r="27" spans="1:5" x14ac:dyDescent="0.3">
      <c r="A27" t="s">
        <v>273</v>
      </c>
      <c r="B27" t="s">
        <v>540</v>
      </c>
      <c r="C27" t="s">
        <v>538</v>
      </c>
      <c r="D27" s="2">
        <v>33561876</v>
      </c>
      <c r="E27" s="2">
        <v>44361150</v>
      </c>
    </row>
    <row r="28" spans="1:5" x14ac:dyDescent="0.3">
      <c r="A28" t="s">
        <v>295</v>
      </c>
      <c r="B28" t="s">
        <v>549</v>
      </c>
      <c r="C28" t="s">
        <v>542</v>
      </c>
      <c r="D28" s="2">
        <v>31858027</v>
      </c>
      <c r="E28" s="2">
        <v>57792518</v>
      </c>
    </row>
    <row r="29" spans="1:5" x14ac:dyDescent="0.3">
      <c r="A29" t="s">
        <v>307</v>
      </c>
      <c r="B29" t="s">
        <v>540</v>
      </c>
      <c r="C29" t="s">
        <v>538</v>
      </c>
      <c r="D29" s="2">
        <v>30548252</v>
      </c>
      <c r="E29" s="2">
        <v>49661048</v>
      </c>
    </row>
    <row r="30" spans="1:5" x14ac:dyDescent="0.3">
      <c r="A30" t="s">
        <v>187</v>
      </c>
      <c r="B30" t="s">
        <v>544</v>
      </c>
      <c r="C30" t="s">
        <v>535</v>
      </c>
      <c r="D30" s="2">
        <v>27048861</v>
      </c>
      <c r="E30" s="2">
        <v>33702756</v>
      </c>
    </row>
    <row r="31" spans="1:5" x14ac:dyDescent="0.3">
      <c r="A31" t="s">
        <v>113</v>
      </c>
      <c r="B31" t="s">
        <v>539</v>
      </c>
      <c r="C31" t="s">
        <v>535</v>
      </c>
      <c r="D31" s="2">
        <v>25343685</v>
      </c>
      <c r="E31" s="2">
        <v>31528033</v>
      </c>
    </row>
    <row r="32" spans="1:5" x14ac:dyDescent="0.3">
      <c r="A32" t="s">
        <v>82</v>
      </c>
      <c r="B32" t="s">
        <v>543</v>
      </c>
      <c r="C32" t="s">
        <v>498</v>
      </c>
      <c r="D32" s="2">
        <v>31100000</v>
      </c>
      <c r="E32" s="2">
        <v>44246156</v>
      </c>
    </row>
    <row r="33" spans="1:5" x14ac:dyDescent="0.3">
      <c r="A33" t="s">
        <v>51</v>
      </c>
      <c r="B33" t="s">
        <v>548</v>
      </c>
      <c r="C33" t="s">
        <v>542</v>
      </c>
      <c r="D33" s="2">
        <v>26350000</v>
      </c>
      <c r="E33" s="2">
        <v>42228408</v>
      </c>
    </row>
    <row r="34" spans="1:5" x14ac:dyDescent="0.3">
      <c r="A34" t="s">
        <v>111</v>
      </c>
      <c r="B34" t="s">
        <v>548</v>
      </c>
      <c r="C34" t="s">
        <v>542</v>
      </c>
      <c r="D34" s="2">
        <v>22072765</v>
      </c>
      <c r="E34" s="2">
        <v>36029093</v>
      </c>
    </row>
    <row r="35" spans="1:5" x14ac:dyDescent="0.3">
      <c r="A35" t="s">
        <v>403</v>
      </c>
      <c r="B35" t="s">
        <v>534</v>
      </c>
      <c r="C35" t="s">
        <v>535</v>
      </c>
      <c r="D35" s="2">
        <v>21920626</v>
      </c>
      <c r="E35" s="2">
        <v>23726460</v>
      </c>
    </row>
    <row r="36" spans="1:5" x14ac:dyDescent="0.3">
      <c r="A36" t="s">
        <v>78</v>
      </c>
      <c r="B36" t="s">
        <v>550</v>
      </c>
      <c r="C36" t="s">
        <v>551</v>
      </c>
      <c r="D36" s="2">
        <v>21159515</v>
      </c>
      <c r="E36" s="2">
        <v>24898152</v>
      </c>
    </row>
    <row r="37" spans="1:5" x14ac:dyDescent="0.3">
      <c r="A37" t="s">
        <v>500</v>
      </c>
      <c r="B37" t="s">
        <v>540</v>
      </c>
      <c r="C37" t="s">
        <v>538</v>
      </c>
      <c r="D37" s="2">
        <v>20564451</v>
      </c>
      <c r="E37" s="2">
        <v>28887118</v>
      </c>
    </row>
    <row r="38" spans="1:5" x14ac:dyDescent="0.3">
      <c r="A38" t="s">
        <v>211</v>
      </c>
      <c r="B38" t="s">
        <v>552</v>
      </c>
      <c r="C38" t="s">
        <v>542</v>
      </c>
      <c r="D38" s="2">
        <v>19543075</v>
      </c>
      <c r="E38" s="2">
        <v>109224414</v>
      </c>
    </row>
    <row r="39" spans="1:5" x14ac:dyDescent="0.3">
      <c r="A39" t="s">
        <v>148</v>
      </c>
      <c r="B39" t="s">
        <v>544</v>
      </c>
      <c r="C39" t="s">
        <v>535</v>
      </c>
      <c r="D39" s="2">
        <v>18892351</v>
      </c>
      <c r="E39" s="2">
        <v>38433600</v>
      </c>
    </row>
    <row r="40" spans="1:5" x14ac:dyDescent="0.3">
      <c r="A40" t="s">
        <v>62</v>
      </c>
      <c r="B40" t="s">
        <v>553</v>
      </c>
      <c r="C40" t="s">
        <v>535</v>
      </c>
      <c r="D40" s="2">
        <v>16692456</v>
      </c>
      <c r="E40" s="2">
        <v>32476244</v>
      </c>
    </row>
    <row r="41" spans="1:5" x14ac:dyDescent="0.3">
      <c r="A41" t="s">
        <v>92</v>
      </c>
      <c r="B41" t="s">
        <v>539</v>
      </c>
      <c r="C41" t="s">
        <v>535</v>
      </c>
      <c r="D41" s="2">
        <v>16374103</v>
      </c>
      <c r="E41" s="2">
        <v>53708320</v>
      </c>
    </row>
    <row r="42" spans="1:5" x14ac:dyDescent="0.3">
      <c r="A42" t="s">
        <v>527</v>
      </c>
      <c r="B42" t="s">
        <v>545</v>
      </c>
      <c r="C42" t="s">
        <v>498</v>
      </c>
      <c r="D42" s="2">
        <v>15877494</v>
      </c>
      <c r="E42" s="2">
        <v>17059560</v>
      </c>
    </row>
    <row r="43" spans="1:5" x14ac:dyDescent="0.3">
      <c r="A43" t="s">
        <v>150</v>
      </c>
      <c r="B43" t="s">
        <v>540</v>
      </c>
      <c r="C43" t="s">
        <v>538</v>
      </c>
      <c r="D43" s="2">
        <v>15674241</v>
      </c>
      <c r="E43" s="2">
        <v>31989260</v>
      </c>
    </row>
    <row r="44" spans="1:5" x14ac:dyDescent="0.3">
      <c r="A44" t="s">
        <v>38</v>
      </c>
      <c r="B44" t="s">
        <v>540</v>
      </c>
      <c r="C44" t="s">
        <v>538</v>
      </c>
      <c r="D44" s="2">
        <v>14864456</v>
      </c>
      <c r="E44" s="2">
        <v>18729160</v>
      </c>
    </row>
    <row r="45" spans="1:5" x14ac:dyDescent="0.3">
      <c r="A45" t="s">
        <v>60</v>
      </c>
      <c r="B45" t="s">
        <v>553</v>
      </c>
      <c r="C45" t="s">
        <v>535</v>
      </c>
      <c r="D45" s="2">
        <v>13913699</v>
      </c>
      <c r="E45" s="2">
        <v>18319618</v>
      </c>
    </row>
    <row r="46" spans="1:5" x14ac:dyDescent="0.3">
      <c r="A46" t="s">
        <v>154</v>
      </c>
      <c r="B46" t="s">
        <v>543</v>
      </c>
      <c r="C46" t="s">
        <v>498</v>
      </c>
      <c r="D46" s="2">
        <v>12545558</v>
      </c>
      <c r="E46" s="2">
        <v>19506114</v>
      </c>
    </row>
    <row r="47" spans="1:5" x14ac:dyDescent="0.3">
      <c r="A47" t="s">
        <v>25</v>
      </c>
      <c r="B47" t="s">
        <v>548</v>
      </c>
      <c r="C47" t="s">
        <v>542</v>
      </c>
      <c r="D47" s="2">
        <v>12512639</v>
      </c>
      <c r="E47" s="2">
        <v>41801533</v>
      </c>
    </row>
    <row r="48" spans="1:5" x14ac:dyDescent="0.3">
      <c r="A48" t="s">
        <v>74</v>
      </c>
      <c r="B48" t="s">
        <v>541</v>
      </c>
      <c r="C48" t="s">
        <v>542</v>
      </c>
      <c r="D48" s="2">
        <v>15065541</v>
      </c>
      <c r="E48" s="2">
        <v>29767102</v>
      </c>
    </row>
    <row r="49" spans="1:5" x14ac:dyDescent="0.3">
      <c r="A49" t="s">
        <v>283</v>
      </c>
      <c r="B49" t="s">
        <v>541</v>
      </c>
      <c r="C49" t="s">
        <v>542</v>
      </c>
      <c r="D49" s="2">
        <v>10650818</v>
      </c>
      <c r="E49" s="2">
        <v>25069230</v>
      </c>
    </row>
    <row r="50" spans="1:5" x14ac:dyDescent="0.3">
      <c r="A50" t="s">
        <v>195</v>
      </c>
      <c r="B50" t="s">
        <v>552</v>
      </c>
      <c r="C50" t="s">
        <v>542</v>
      </c>
      <c r="D50" s="2">
        <v>10162807</v>
      </c>
      <c r="E50" s="2">
        <v>42729036</v>
      </c>
    </row>
    <row r="51" spans="1:5" x14ac:dyDescent="0.3">
      <c r="A51" t="s">
        <v>399</v>
      </c>
      <c r="B51" t="s">
        <v>545</v>
      </c>
      <c r="C51" t="s">
        <v>498</v>
      </c>
      <c r="D51" s="2">
        <v>10021242</v>
      </c>
      <c r="E51" s="2">
        <v>11482178</v>
      </c>
    </row>
    <row r="52" spans="1:5" x14ac:dyDescent="0.3">
      <c r="A52" t="s">
        <v>183</v>
      </c>
      <c r="B52" t="s">
        <v>547</v>
      </c>
      <c r="C52" t="s">
        <v>498</v>
      </c>
      <c r="D52" s="2">
        <v>9554907</v>
      </c>
      <c r="E52" s="2">
        <v>9971638</v>
      </c>
    </row>
    <row r="53" spans="1:5" x14ac:dyDescent="0.3">
      <c r="A53" t="s">
        <v>134</v>
      </c>
      <c r="B53" t="s">
        <v>540</v>
      </c>
      <c r="C53" t="s">
        <v>538</v>
      </c>
      <c r="D53" s="2">
        <v>9521056</v>
      </c>
      <c r="E53" s="2">
        <v>17084358</v>
      </c>
    </row>
    <row r="54" spans="1:5" x14ac:dyDescent="0.3">
      <c r="A54" t="s">
        <v>84</v>
      </c>
      <c r="B54" t="s">
        <v>552</v>
      </c>
      <c r="C54" t="s">
        <v>542</v>
      </c>
      <c r="D54" s="2">
        <v>30000000</v>
      </c>
      <c r="E54" s="2">
        <v>56313438</v>
      </c>
    </row>
    <row r="55" spans="1:5" x14ac:dyDescent="0.3">
      <c r="A55" t="s">
        <v>436</v>
      </c>
      <c r="B55" t="s">
        <v>544</v>
      </c>
      <c r="C55" t="s">
        <v>535</v>
      </c>
      <c r="D55" s="2">
        <v>8913217</v>
      </c>
      <c r="E55" s="2">
        <v>9630959</v>
      </c>
    </row>
    <row r="56" spans="1:5" x14ac:dyDescent="0.3">
      <c r="A56" t="s">
        <v>259</v>
      </c>
      <c r="B56" t="s">
        <v>552</v>
      </c>
      <c r="C56" t="s">
        <v>542</v>
      </c>
      <c r="D56" s="2">
        <v>8861485</v>
      </c>
      <c r="E56" s="2">
        <v>51392565</v>
      </c>
    </row>
    <row r="57" spans="1:5" x14ac:dyDescent="0.3">
      <c r="A57" t="s">
        <v>446</v>
      </c>
      <c r="B57" t="s">
        <v>543</v>
      </c>
      <c r="C57" t="s">
        <v>498</v>
      </c>
      <c r="D57" s="2">
        <v>8358728</v>
      </c>
      <c r="E57" s="2">
        <v>10665677</v>
      </c>
    </row>
    <row r="58" spans="1:5" x14ac:dyDescent="0.3">
      <c r="A58" t="s">
        <v>395</v>
      </c>
      <c r="B58" t="s">
        <v>545</v>
      </c>
      <c r="C58" t="s">
        <v>498</v>
      </c>
      <c r="D58" s="2">
        <v>7942864</v>
      </c>
      <c r="E58" s="2">
        <v>8525611</v>
      </c>
    </row>
    <row r="59" spans="1:5" x14ac:dyDescent="0.3">
      <c r="A59" t="s">
        <v>448</v>
      </c>
      <c r="B59" t="s">
        <v>546</v>
      </c>
      <c r="C59" t="s">
        <v>498</v>
      </c>
      <c r="D59" s="2">
        <v>7923438</v>
      </c>
      <c r="E59" s="2">
        <v>10522246</v>
      </c>
    </row>
    <row r="60" spans="1:5" x14ac:dyDescent="0.3">
      <c r="A60" t="s">
        <v>223</v>
      </c>
      <c r="B60" t="s">
        <v>544</v>
      </c>
      <c r="C60" t="s">
        <v>535</v>
      </c>
      <c r="D60" s="2">
        <v>7763795</v>
      </c>
      <c r="E60" s="2">
        <v>9949537</v>
      </c>
    </row>
    <row r="61" spans="1:5" x14ac:dyDescent="0.3">
      <c r="A61" t="s">
        <v>152</v>
      </c>
      <c r="B61" t="s">
        <v>545</v>
      </c>
      <c r="C61" t="s">
        <v>498</v>
      </c>
      <c r="D61" s="2">
        <v>7681957</v>
      </c>
      <c r="E61" s="2">
        <v>8891388</v>
      </c>
    </row>
    <row r="62" spans="1:5" x14ac:dyDescent="0.3">
      <c r="A62" t="s">
        <v>355</v>
      </c>
      <c r="B62" t="s">
        <v>546</v>
      </c>
      <c r="C62" t="s">
        <v>498</v>
      </c>
      <c r="D62" s="2">
        <v>7622142</v>
      </c>
      <c r="E62" s="2">
        <v>10256193</v>
      </c>
    </row>
    <row r="63" spans="1:5" x14ac:dyDescent="0.3">
      <c r="A63" t="s">
        <v>466</v>
      </c>
      <c r="B63" t="s">
        <v>544</v>
      </c>
      <c r="C63" t="s">
        <v>535</v>
      </c>
      <c r="D63" s="2">
        <v>7548512</v>
      </c>
      <c r="E63" s="2">
        <v>28498683</v>
      </c>
    </row>
    <row r="64" spans="1:5" x14ac:dyDescent="0.3">
      <c r="A64" t="s">
        <v>207</v>
      </c>
      <c r="B64" t="s">
        <v>543</v>
      </c>
      <c r="C64" t="s">
        <v>498</v>
      </c>
      <c r="D64" s="2">
        <v>7461297</v>
      </c>
      <c r="E64" s="2">
        <v>9707499</v>
      </c>
    </row>
    <row r="65" spans="1:5" x14ac:dyDescent="0.3">
      <c r="A65" t="s">
        <v>36</v>
      </c>
      <c r="B65" t="s">
        <v>536</v>
      </c>
      <c r="C65" t="s">
        <v>535</v>
      </c>
      <c r="D65" s="2">
        <v>7121116</v>
      </c>
      <c r="E65" s="2">
        <v>21228763</v>
      </c>
    </row>
    <row r="66" spans="1:5" x14ac:dyDescent="0.3">
      <c r="A66" t="s">
        <v>45</v>
      </c>
      <c r="B66" t="s">
        <v>543</v>
      </c>
      <c r="C66" t="s">
        <v>498</v>
      </c>
      <c r="D66" s="2">
        <v>7048231</v>
      </c>
      <c r="E66" s="2">
        <v>9452617</v>
      </c>
    </row>
    <row r="67" spans="1:5" x14ac:dyDescent="0.3">
      <c r="A67" t="s">
        <v>505</v>
      </c>
      <c r="B67" t="s">
        <v>554</v>
      </c>
      <c r="C67" t="s">
        <v>542</v>
      </c>
      <c r="D67" s="2">
        <v>7011507</v>
      </c>
      <c r="E67" s="2">
        <v>84068091</v>
      </c>
    </row>
    <row r="68" spans="1:5" x14ac:dyDescent="0.3">
      <c r="A68" t="s">
        <v>191</v>
      </c>
      <c r="B68" t="s">
        <v>555</v>
      </c>
      <c r="C68" t="s">
        <v>538</v>
      </c>
      <c r="D68" s="2">
        <v>6997472</v>
      </c>
      <c r="E68" s="2">
        <v>10627141</v>
      </c>
    </row>
    <row r="69" spans="1:5" x14ac:dyDescent="0.3">
      <c r="A69" t="s">
        <v>229</v>
      </c>
      <c r="B69" t="s">
        <v>556</v>
      </c>
      <c r="C69" t="s">
        <v>538</v>
      </c>
      <c r="D69" s="2">
        <v>11750000</v>
      </c>
      <c r="E69" s="2">
        <v>17247849</v>
      </c>
    </row>
    <row r="70" spans="1:5" x14ac:dyDescent="0.3">
      <c r="A70" t="s">
        <v>13</v>
      </c>
      <c r="B70" t="s">
        <v>544</v>
      </c>
      <c r="C70" t="s">
        <v>535</v>
      </c>
      <c r="D70" s="2">
        <v>6788737</v>
      </c>
      <c r="E70" s="2">
        <v>8381516</v>
      </c>
    </row>
    <row r="71" spans="1:5" x14ac:dyDescent="0.3">
      <c r="A71" t="s">
        <v>265</v>
      </c>
      <c r="B71" t="s">
        <v>534</v>
      </c>
      <c r="C71" t="s">
        <v>535</v>
      </c>
      <c r="D71" s="2">
        <v>6585678</v>
      </c>
      <c r="E71" s="2">
        <v>7371730</v>
      </c>
    </row>
    <row r="72" spans="1:5" x14ac:dyDescent="0.3">
      <c r="A72" t="s">
        <v>177</v>
      </c>
      <c r="B72" t="s">
        <v>544</v>
      </c>
      <c r="C72" t="s">
        <v>535</v>
      </c>
      <c r="D72" s="2">
        <v>6480202</v>
      </c>
      <c r="E72" s="2">
        <v>9965318</v>
      </c>
    </row>
    <row r="73" spans="1:5" x14ac:dyDescent="0.3">
      <c r="A73" t="s">
        <v>140</v>
      </c>
      <c r="B73" t="s">
        <v>548</v>
      </c>
      <c r="C73" t="s">
        <v>542</v>
      </c>
      <c r="D73" s="2">
        <v>6400330</v>
      </c>
      <c r="E73" s="2">
        <v>11565201</v>
      </c>
    </row>
    <row r="74" spans="1:5" x14ac:dyDescent="0.3">
      <c r="A74" t="s">
        <v>68</v>
      </c>
      <c r="B74" t="s">
        <v>536</v>
      </c>
      <c r="C74" t="s">
        <v>535</v>
      </c>
      <c r="D74" s="2">
        <v>16190000</v>
      </c>
      <c r="E74" s="2">
        <v>28095714</v>
      </c>
    </row>
    <row r="75" spans="1:5" x14ac:dyDescent="0.3">
      <c r="A75" t="s">
        <v>426</v>
      </c>
      <c r="B75" t="s">
        <v>544</v>
      </c>
      <c r="C75" t="s">
        <v>535</v>
      </c>
      <c r="D75" s="2">
        <v>6257430</v>
      </c>
      <c r="E75" s="2">
        <v>16945057</v>
      </c>
    </row>
    <row r="76" spans="1:5" x14ac:dyDescent="0.3">
      <c r="A76" t="s">
        <v>166</v>
      </c>
      <c r="B76" t="s">
        <v>546</v>
      </c>
      <c r="C76" t="s">
        <v>498</v>
      </c>
      <c r="D76" s="2">
        <v>6182411</v>
      </c>
      <c r="E76" s="2">
        <v>8802754</v>
      </c>
    </row>
    <row r="77" spans="1:5" x14ac:dyDescent="0.3">
      <c r="A77" t="s">
        <v>303</v>
      </c>
      <c r="B77" t="s">
        <v>552</v>
      </c>
      <c r="C77" t="s">
        <v>542</v>
      </c>
      <c r="D77" s="2">
        <v>6162217</v>
      </c>
      <c r="E77" s="2">
        <v>29496004</v>
      </c>
    </row>
    <row r="78" spans="1:5" x14ac:dyDescent="0.3">
      <c r="A78" t="s">
        <v>432</v>
      </c>
      <c r="B78" t="s">
        <v>555</v>
      </c>
      <c r="C78" t="s">
        <v>538</v>
      </c>
      <c r="D78" s="2">
        <v>5638956</v>
      </c>
      <c r="E78" s="2">
        <v>11338134</v>
      </c>
    </row>
    <row r="79" spans="1:5" x14ac:dyDescent="0.3">
      <c r="A79" t="s">
        <v>117</v>
      </c>
      <c r="B79" t="s">
        <v>554</v>
      </c>
      <c r="C79" t="s">
        <v>542</v>
      </c>
      <c r="D79" s="2">
        <v>5580465</v>
      </c>
      <c r="E79" s="2">
        <v>25216267</v>
      </c>
    </row>
    <row r="80" spans="1:5" x14ac:dyDescent="0.3">
      <c r="A80" t="s">
        <v>94</v>
      </c>
      <c r="B80" t="s">
        <v>547</v>
      </c>
      <c r="C80" t="s">
        <v>498</v>
      </c>
      <c r="D80" s="2">
        <v>5407278</v>
      </c>
      <c r="E80" s="2">
        <v>5752126</v>
      </c>
    </row>
    <row r="81" spans="1:5" x14ac:dyDescent="0.3">
      <c r="A81" t="s">
        <v>100</v>
      </c>
      <c r="B81" t="s">
        <v>539</v>
      </c>
      <c r="C81" t="s">
        <v>535</v>
      </c>
      <c r="D81" s="2">
        <v>5441827</v>
      </c>
      <c r="E81" s="2">
        <v>16249792</v>
      </c>
    </row>
    <row r="82" spans="1:5" x14ac:dyDescent="0.3">
      <c r="A82" t="s">
        <v>407</v>
      </c>
      <c r="B82" t="s">
        <v>547</v>
      </c>
      <c r="C82" t="s">
        <v>498</v>
      </c>
      <c r="D82" s="2">
        <v>5120225</v>
      </c>
      <c r="E82" s="2">
        <v>5337962</v>
      </c>
    </row>
    <row r="83" spans="1:5" x14ac:dyDescent="0.3">
      <c r="A83" t="s">
        <v>253</v>
      </c>
      <c r="B83" t="s">
        <v>540</v>
      </c>
      <c r="C83" t="s">
        <v>538</v>
      </c>
      <c r="D83" s="2">
        <v>4843916</v>
      </c>
      <c r="E83" s="2">
        <v>11353142</v>
      </c>
    </row>
    <row r="84" spans="1:5" x14ac:dyDescent="0.3">
      <c r="A84" t="s">
        <v>128</v>
      </c>
      <c r="B84" t="s">
        <v>547</v>
      </c>
      <c r="C84" t="s">
        <v>498</v>
      </c>
      <c r="D84" s="2">
        <v>4831170</v>
      </c>
      <c r="E84" s="2">
        <v>5522576</v>
      </c>
    </row>
    <row r="85" spans="1:5" x14ac:dyDescent="0.3">
      <c r="A85" t="s">
        <v>142</v>
      </c>
      <c r="B85" t="s">
        <v>539</v>
      </c>
      <c r="C85" t="s">
        <v>535</v>
      </c>
      <c r="D85" s="2">
        <v>4821119</v>
      </c>
      <c r="E85" s="2">
        <v>5757499</v>
      </c>
    </row>
    <row r="86" spans="1:5" x14ac:dyDescent="0.3">
      <c r="A86" t="s">
        <v>146</v>
      </c>
      <c r="B86" t="s">
        <v>552</v>
      </c>
      <c r="C86" t="s">
        <v>542</v>
      </c>
      <c r="D86" s="2">
        <v>4760715</v>
      </c>
      <c r="E86" s="2">
        <v>17351708</v>
      </c>
    </row>
    <row r="87" spans="1:5" x14ac:dyDescent="0.3">
      <c r="A87" t="s">
        <v>389</v>
      </c>
      <c r="B87" t="s">
        <v>544</v>
      </c>
      <c r="C87" t="s">
        <v>535</v>
      </c>
      <c r="D87" s="2">
        <v>4755187</v>
      </c>
      <c r="E87" s="2">
        <v>6859408</v>
      </c>
    </row>
    <row r="88" spans="1:5" x14ac:dyDescent="0.3">
      <c r="A88" t="s">
        <v>121</v>
      </c>
      <c r="B88" t="s">
        <v>541</v>
      </c>
      <c r="C88" t="s">
        <v>542</v>
      </c>
      <c r="D88" s="2">
        <v>4698108</v>
      </c>
      <c r="E88" s="2">
        <v>15854323</v>
      </c>
    </row>
    <row r="89" spans="1:5" x14ac:dyDescent="0.3">
      <c r="A89" t="s">
        <v>263</v>
      </c>
      <c r="B89" t="s">
        <v>543</v>
      </c>
      <c r="C89" t="s">
        <v>498</v>
      </c>
      <c r="D89" s="2">
        <v>4492326</v>
      </c>
      <c r="E89" s="2">
        <v>7051608</v>
      </c>
    </row>
    <row r="90" spans="1:5" x14ac:dyDescent="0.3">
      <c r="A90" t="s">
        <v>508</v>
      </c>
      <c r="B90" t="s">
        <v>552</v>
      </c>
      <c r="C90" t="s">
        <v>542</v>
      </c>
      <c r="D90" s="2">
        <v>4472992</v>
      </c>
      <c r="E90" s="2">
        <v>14438802</v>
      </c>
    </row>
    <row r="91" spans="1:5" x14ac:dyDescent="0.3">
      <c r="A91" t="s">
        <v>347</v>
      </c>
      <c r="B91" t="s">
        <v>543</v>
      </c>
      <c r="C91" t="s">
        <v>498</v>
      </c>
      <c r="D91" s="2">
        <v>4446926</v>
      </c>
      <c r="E91" s="2">
        <v>5453014</v>
      </c>
    </row>
    <row r="92" spans="1:5" x14ac:dyDescent="0.3">
      <c r="A92" t="s">
        <v>424</v>
      </c>
      <c r="B92" t="s">
        <v>550</v>
      </c>
      <c r="C92" t="s">
        <v>551</v>
      </c>
      <c r="D92" s="2">
        <v>4273353</v>
      </c>
      <c r="E92" s="2">
        <v>4743131</v>
      </c>
    </row>
    <row r="93" spans="1:5" x14ac:dyDescent="0.3">
      <c r="A93" t="s">
        <v>201</v>
      </c>
      <c r="B93" t="s">
        <v>554</v>
      </c>
      <c r="C93" t="s">
        <v>542</v>
      </c>
      <c r="D93" s="2">
        <v>4271053</v>
      </c>
      <c r="E93" s="2">
        <v>30809787</v>
      </c>
    </row>
    <row r="94" spans="1:5" x14ac:dyDescent="0.3">
      <c r="A94" t="s">
        <v>281</v>
      </c>
      <c r="B94" t="s">
        <v>540</v>
      </c>
      <c r="C94" t="s">
        <v>538</v>
      </c>
      <c r="D94" s="2">
        <v>4160340</v>
      </c>
      <c r="E94" s="2">
        <v>6956066</v>
      </c>
    </row>
    <row r="95" spans="1:5" x14ac:dyDescent="0.3">
      <c r="A95" t="s">
        <v>130</v>
      </c>
      <c r="B95" t="s">
        <v>536</v>
      </c>
      <c r="C95" t="s">
        <v>535</v>
      </c>
      <c r="D95" s="2">
        <v>4068194</v>
      </c>
      <c r="E95" s="2">
        <v>37171921</v>
      </c>
    </row>
    <row r="96" spans="1:5" x14ac:dyDescent="0.3">
      <c r="A96" t="s">
        <v>96</v>
      </c>
      <c r="B96" t="s">
        <v>544</v>
      </c>
      <c r="C96" t="s">
        <v>535</v>
      </c>
      <c r="D96" s="2">
        <v>4053797</v>
      </c>
      <c r="E96" s="2">
        <v>4137312</v>
      </c>
    </row>
    <row r="97" spans="1:5" x14ac:dyDescent="0.3">
      <c r="A97" t="s">
        <v>181</v>
      </c>
      <c r="B97" t="s">
        <v>547</v>
      </c>
      <c r="C97" t="s">
        <v>498</v>
      </c>
      <c r="D97" s="2">
        <v>4024552</v>
      </c>
      <c r="E97" s="2">
        <v>4818690</v>
      </c>
    </row>
    <row r="98" spans="1:5" x14ac:dyDescent="0.3">
      <c r="A98" t="s">
        <v>245</v>
      </c>
      <c r="B98" t="s">
        <v>544</v>
      </c>
      <c r="C98" t="s">
        <v>535</v>
      </c>
      <c r="D98" s="2">
        <v>3717818</v>
      </c>
      <c r="E98" s="2">
        <v>4829473</v>
      </c>
    </row>
    <row r="99" spans="1:5" x14ac:dyDescent="0.3">
      <c r="A99" t="s">
        <v>269</v>
      </c>
      <c r="B99" t="s">
        <v>556</v>
      </c>
      <c r="C99" t="s">
        <v>538</v>
      </c>
      <c r="D99" s="2">
        <v>3511549</v>
      </c>
      <c r="E99" s="2">
        <v>4999441</v>
      </c>
    </row>
    <row r="100" spans="1:5" x14ac:dyDescent="0.3">
      <c r="A100" t="s">
        <v>209</v>
      </c>
      <c r="B100" t="s">
        <v>544</v>
      </c>
      <c r="C100" t="s">
        <v>535</v>
      </c>
      <c r="D100" s="2">
        <v>3208312</v>
      </c>
    </row>
    <row r="101" spans="1:5" x14ac:dyDescent="0.3">
      <c r="A101" t="s">
        <v>30</v>
      </c>
      <c r="B101" t="s">
        <v>543</v>
      </c>
      <c r="C101" t="s">
        <v>498</v>
      </c>
      <c r="D101" s="2">
        <v>3083783</v>
      </c>
      <c r="E101" s="2">
        <v>4051944</v>
      </c>
    </row>
    <row r="102" spans="1:5" x14ac:dyDescent="0.3">
      <c r="A102" t="s">
        <v>379</v>
      </c>
      <c r="B102" t="s">
        <v>541</v>
      </c>
      <c r="C102" t="s">
        <v>542</v>
      </c>
      <c r="D102" s="2">
        <v>3047909</v>
      </c>
      <c r="E102" s="2">
        <v>19751466</v>
      </c>
    </row>
    <row r="103" spans="1:5" x14ac:dyDescent="0.3">
      <c r="A103" t="s">
        <v>197</v>
      </c>
      <c r="B103" t="s">
        <v>556</v>
      </c>
      <c r="C103" t="s">
        <v>538</v>
      </c>
      <c r="D103" s="2">
        <v>2977793</v>
      </c>
      <c r="E103" s="2">
        <v>9587522</v>
      </c>
    </row>
    <row r="104" spans="1:5" x14ac:dyDescent="0.3">
      <c r="A104" t="s">
        <v>267</v>
      </c>
      <c r="B104" t="s">
        <v>546</v>
      </c>
      <c r="C104" t="s">
        <v>498</v>
      </c>
      <c r="D104" s="2">
        <v>2811056</v>
      </c>
      <c r="E104" s="2">
        <v>4156405</v>
      </c>
    </row>
    <row r="105" spans="1:5" x14ac:dyDescent="0.3">
      <c r="A105" t="s">
        <v>363</v>
      </c>
      <c r="B105" t="s">
        <v>555</v>
      </c>
      <c r="C105" t="s">
        <v>538</v>
      </c>
      <c r="D105" s="2">
        <v>2664928</v>
      </c>
      <c r="E105" s="2">
        <v>3039596</v>
      </c>
    </row>
    <row r="106" spans="1:5" x14ac:dyDescent="0.3">
      <c r="A106" t="s">
        <v>160</v>
      </c>
      <c r="B106" t="s">
        <v>552</v>
      </c>
      <c r="C106" t="s">
        <v>542</v>
      </c>
      <c r="D106" s="2">
        <v>2657770</v>
      </c>
      <c r="E106" s="2">
        <v>12301970</v>
      </c>
    </row>
    <row r="107" spans="1:5" x14ac:dyDescent="0.3">
      <c r="A107" t="s">
        <v>476</v>
      </c>
      <c r="B107" t="s">
        <v>552</v>
      </c>
      <c r="C107" t="s">
        <v>542</v>
      </c>
      <c r="D107" s="2">
        <v>2566126</v>
      </c>
      <c r="E107" s="2">
        <v>18143217</v>
      </c>
    </row>
    <row r="108" spans="1:5" x14ac:dyDescent="0.3">
      <c r="A108" t="s">
        <v>321</v>
      </c>
      <c r="B108" t="s">
        <v>544</v>
      </c>
      <c r="C108" t="s">
        <v>535</v>
      </c>
      <c r="D108" s="2">
        <v>2532059</v>
      </c>
      <c r="E108" s="2">
        <v>2781682</v>
      </c>
    </row>
    <row r="109" spans="1:5" x14ac:dyDescent="0.3">
      <c r="A109" t="s">
        <v>393</v>
      </c>
      <c r="B109" t="s">
        <v>552</v>
      </c>
      <c r="C109" t="s">
        <v>542</v>
      </c>
      <c r="D109" s="2">
        <v>2505948</v>
      </c>
      <c r="E109" s="2">
        <v>26262313</v>
      </c>
    </row>
    <row r="110" spans="1:5" x14ac:dyDescent="0.3">
      <c r="A110" t="s">
        <v>275</v>
      </c>
      <c r="B110" t="s">
        <v>546</v>
      </c>
      <c r="C110" t="s">
        <v>498</v>
      </c>
      <c r="D110" s="2">
        <v>2320000</v>
      </c>
      <c r="E110" s="2">
        <v>3323925</v>
      </c>
    </row>
    <row r="111" spans="1:5" x14ac:dyDescent="0.3">
      <c r="A111" t="s">
        <v>377</v>
      </c>
      <c r="B111" t="s">
        <v>556</v>
      </c>
      <c r="C111" t="s">
        <v>538</v>
      </c>
      <c r="D111" s="2">
        <v>2371852</v>
      </c>
      <c r="E111" s="2">
        <v>4176869</v>
      </c>
    </row>
    <row r="112" spans="1:5" x14ac:dyDescent="0.3">
      <c r="A112" t="s">
        <v>219</v>
      </c>
      <c r="B112" t="s">
        <v>544</v>
      </c>
      <c r="C112" t="s">
        <v>535</v>
      </c>
      <c r="D112" s="2">
        <v>3446533</v>
      </c>
      <c r="E112" s="2">
        <v>4002942</v>
      </c>
    </row>
    <row r="113" spans="1:5" x14ac:dyDescent="0.3">
      <c r="A113" t="s">
        <v>189</v>
      </c>
      <c r="B113" t="s">
        <v>540</v>
      </c>
      <c r="C113" t="s">
        <v>538</v>
      </c>
      <c r="D113" s="2">
        <v>2360269</v>
      </c>
      <c r="E113" s="2">
        <v>3449285</v>
      </c>
    </row>
    <row r="114" spans="1:5" x14ac:dyDescent="0.3">
      <c r="A114" t="s">
        <v>329</v>
      </c>
      <c r="B114" t="s">
        <v>541</v>
      </c>
      <c r="C114" t="s">
        <v>542</v>
      </c>
      <c r="D114" s="2">
        <v>2358540</v>
      </c>
      <c r="E114" s="2">
        <v>19077749</v>
      </c>
    </row>
    <row r="115" spans="1:5" x14ac:dyDescent="0.3">
      <c r="A115" t="s">
        <v>16</v>
      </c>
      <c r="B115" t="s">
        <v>553</v>
      </c>
      <c r="C115" t="s">
        <v>535</v>
      </c>
      <c r="D115" s="2">
        <v>2309235</v>
      </c>
      <c r="E115" s="2">
        <v>6304030</v>
      </c>
    </row>
    <row r="116" spans="1:5" x14ac:dyDescent="0.3">
      <c r="A116" t="s">
        <v>172</v>
      </c>
      <c r="B116" t="s">
        <v>547</v>
      </c>
      <c r="C116" t="s">
        <v>498</v>
      </c>
      <c r="D116" s="2">
        <v>2243448</v>
      </c>
      <c r="E116" s="2">
        <v>2801264</v>
      </c>
    </row>
    <row r="117" spans="1:5" x14ac:dyDescent="0.3">
      <c r="A117" t="s">
        <v>164</v>
      </c>
      <c r="B117" t="s">
        <v>541</v>
      </c>
      <c r="C117" t="s">
        <v>542</v>
      </c>
      <c r="D117" s="2">
        <v>2194985</v>
      </c>
      <c r="E117" s="2">
        <v>22442831</v>
      </c>
    </row>
    <row r="118" spans="1:5" x14ac:dyDescent="0.3">
      <c r="A118" t="s">
        <v>305</v>
      </c>
      <c r="B118" t="s">
        <v>546</v>
      </c>
      <c r="C118" t="s">
        <v>498</v>
      </c>
      <c r="D118" s="2">
        <v>2105339</v>
      </c>
      <c r="E118" s="2">
        <v>2882740</v>
      </c>
    </row>
    <row r="119" spans="1:5" x14ac:dyDescent="0.3">
      <c r="A119" t="s">
        <v>90</v>
      </c>
      <c r="B119" t="s">
        <v>544</v>
      </c>
      <c r="C119" t="s">
        <v>535</v>
      </c>
      <c r="D119" s="2">
        <v>2043110</v>
      </c>
      <c r="E119" s="2">
        <v>2951745</v>
      </c>
    </row>
    <row r="120" spans="1:5" x14ac:dyDescent="0.3">
      <c r="A120" t="s">
        <v>170</v>
      </c>
      <c r="B120" t="s">
        <v>556</v>
      </c>
      <c r="C120" t="s">
        <v>538</v>
      </c>
      <c r="D120" s="2">
        <v>1993079</v>
      </c>
      <c r="E120" s="2">
        <v>6420746</v>
      </c>
    </row>
    <row r="121" spans="1:5" x14ac:dyDescent="0.3">
      <c r="A121" t="s">
        <v>287</v>
      </c>
      <c r="B121" t="s">
        <v>553</v>
      </c>
      <c r="C121" t="s">
        <v>535</v>
      </c>
      <c r="D121" s="2">
        <v>1959127</v>
      </c>
      <c r="E121" s="2">
        <v>9100835</v>
      </c>
    </row>
    <row r="122" spans="1:5" x14ac:dyDescent="0.3">
      <c r="A122" t="s">
        <v>319</v>
      </c>
      <c r="B122" t="s">
        <v>539</v>
      </c>
      <c r="C122" t="s">
        <v>535</v>
      </c>
      <c r="D122" s="2">
        <v>1749517</v>
      </c>
      <c r="E122" s="2">
        <v>7061507</v>
      </c>
    </row>
    <row r="123" spans="1:5" x14ac:dyDescent="0.3">
      <c r="A123" t="s">
        <v>123</v>
      </c>
      <c r="B123" t="s">
        <v>556</v>
      </c>
      <c r="C123" t="s">
        <v>538</v>
      </c>
      <c r="D123" s="2">
        <v>1732218</v>
      </c>
      <c r="E123" s="2">
        <v>6465501</v>
      </c>
    </row>
    <row r="124" spans="1:5" x14ac:dyDescent="0.3">
      <c r="A124" t="s">
        <v>213</v>
      </c>
      <c r="B124" t="s">
        <v>546</v>
      </c>
      <c r="C124" t="s">
        <v>498</v>
      </c>
      <c r="D124" s="2">
        <v>1640893</v>
      </c>
      <c r="E124" s="2">
        <v>2077837</v>
      </c>
    </row>
    <row r="125" spans="1:5" x14ac:dyDescent="0.3">
      <c r="A125" t="s">
        <v>126</v>
      </c>
      <c r="B125" t="s">
        <v>546</v>
      </c>
      <c r="C125" t="s">
        <v>498</v>
      </c>
      <c r="D125" s="2">
        <v>1589659</v>
      </c>
      <c r="E125" s="2">
        <v>2082957</v>
      </c>
    </row>
    <row r="126" spans="1:5" x14ac:dyDescent="0.3">
      <c r="A126" t="s">
        <v>342</v>
      </c>
      <c r="B126" t="s">
        <v>547</v>
      </c>
      <c r="C126" t="s">
        <v>498</v>
      </c>
      <c r="D126" s="2">
        <v>1585471</v>
      </c>
      <c r="E126" s="2">
        <v>1928459</v>
      </c>
    </row>
    <row r="127" spans="1:5" x14ac:dyDescent="0.3">
      <c r="A127" t="s">
        <v>349</v>
      </c>
      <c r="B127" t="s">
        <v>541</v>
      </c>
      <c r="C127" t="s">
        <v>542</v>
      </c>
      <c r="D127" s="2">
        <v>1578008</v>
      </c>
      <c r="E127" s="2">
        <v>11485044</v>
      </c>
    </row>
    <row r="128" spans="1:5" x14ac:dyDescent="0.3">
      <c r="A128" t="s">
        <v>233</v>
      </c>
      <c r="B128" t="s">
        <v>541</v>
      </c>
      <c r="C128" t="s">
        <v>542</v>
      </c>
      <c r="D128" s="2">
        <v>1449758</v>
      </c>
      <c r="E128" s="2">
        <v>12414293</v>
      </c>
    </row>
    <row r="129" spans="1:5" x14ac:dyDescent="0.3">
      <c r="A129" t="s">
        <v>243</v>
      </c>
      <c r="B129" t="s">
        <v>544</v>
      </c>
      <c r="C129" t="s">
        <v>535</v>
      </c>
      <c r="D129" s="2">
        <v>1431090</v>
      </c>
      <c r="E129" s="2">
        <v>1569446</v>
      </c>
    </row>
    <row r="130" spans="1:5" x14ac:dyDescent="0.3">
      <c r="A130" t="s">
        <v>297</v>
      </c>
      <c r="B130" t="s">
        <v>555</v>
      </c>
      <c r="C130" t="s">
        <v>538</v>
      </c>
      <c r="D130" s="2">
        <v>1409888</v>
      </c>
      <c r="E130" s="2">
        <v>2934847</v>
      </c>
    </row>
    <row r="131" spans="1:5" x14ac:dyDescent="0.3">
      <c r="A131" t="s">
        <v>80</v>
      </c>
      <c r="B131" t="s">
        <v>548</v>
      </c>
      <c r="C131" t="s">
        <v>542</v>
      </c>
      <c r="D131" s="2">
        <v>1387116</v>
      </c>
      <c r="E131" s="2">
        <v>6678559</v>
      </c>
    </row>
    <row r="132" spans="1:5" x14ac:dyDescent="0.3">
      <c r="A132" t="s">
        <v>104</v>
      </c>
      <c r="B132" t="s">
        <v>555</v>
      </c>
      <c r="C132" t="s">
        <v>538</v>
      </c>
      <c r="D132" s="2">
        <v>1353986</v>
      </c>
      <c r="E132" s="2">
        <v>11123178</v>
      </c>
    </row>
    <row r="133" spans="1:5" x14ac:dyDescent="0.3">
      <c r="A133" t="s">
        <v>472</v>
      </c>
      <c r="B133" t="s">
        <v>553</v>
      </c>
      <c r="C133" t="s">
        <v>535</v>
      </c>
      <c r="D133" s="2">
        <v>1223591</v>
      </c>
      <c r="E133" s="2">
        <v>5850901</v>
      </c>
    </row>
    <row r="134" spans="1:5" x14ac:dyDescent="0.3">
      <c r="A134" t="s">
        <v>175</v>
      </c>
      <c r="B134" t="s">
        <v>547</v>
      </c>
      <c r="C134" t="s">
        <v>498</v>
      </c>
      <c r="D134" s="2">
        <v>1153786</v>
      </c>
      <c r="E134" s="2">
        <v>1322920</v>
      </c>
    </row>
    <row r="135" spans="1:5" x14ac:dyDescent="0.3">
      <c r="A135" t="s">
        <v>225</v>
      </c>
      <c r="B135" t="s">
        <v>555</v>
      </c>
      <c r="C135" t="s">
        <v>538</v>
      </c>
      <c r="D135" s="2">
        <v>1058744</v>
      </c>
      <c r="E135" s="2">
        <v>1389843</v>
      </c>
    </row>
    <row r="136" spans="1:5" x14ac:dyDescent="0.3">
      <c r="A136" t="s">
        <v>391</v>
      </c>
      <c r="B136" t="s">
        <v>554</v>
      </c>
      <c r="C136" t="s">
        <v>542</v>
      </c>
      <c r="D136" s="2">
        <v>1040000</v>
      </c>
      <c r="E136" s="2">
        <v>2119275</v>
      </c>
    </row>
    <row r="137" spans="1:5" x14ac:dyDescent="0.3">
      <c r="A137" t="s">
        <v>495</v>
      </c>
      <c r="B137" t="s">
        <v>552</v>
      </c>
      <c r="C137" t="s">
        <v>542</v>
      </c>
      <c r="D137" s="2">
        <v>1003542</v>
      </c>
      <c r="E137" s="2">
        <v>10975927</v>
      </c>
    </row>
    <row r="138" spans="1:5" x14ac:dyDescent="0.3">
      <c r="A138" t="s">
        <v>327</v>
      </c>
      <c r="B138" t="s">
        <v>541</v>
      </c>
      <c r="C138" t="s">
        <v>542</v>
      </c>
      <c r="D138" s="2">
        <v>1000575</v>
      </c>
      <c r="E138" s="2">
        <v>7650150</v>
      </c>
    </row>
    <row r="139" spans="1:5" x14ac:dyDescent="0.3">
      <c r="A139" t="s">
        <v>474</v>
      </c>
      <c r="B139" t="s">
        <v>554</v>
      </c>
      <c r="C139" t="s">
        <v>542</v>
      </c>
      <c r="D139" s="2">
        <v>968500</v>
      </c>
      <c r="E139" s="2">
        <v>15477729</v>
      </c>
    </row>
    <row r="140" spans="1:5" x14ac:dyDescent="0.3">
      <c r="A140" t="s">
        <v>383</v>
      </c>
      <c r="B140" t="s">
        <v>541</v>
      </c>
      <c r="C140" t="s">
        <v>542</v>
      </c>
      <c r="D140" s="2">
        <v>963795</v>
      </c>
      <c r="E140" s="2">
        <v>7889093</v>
      </c>
    </row>
    <row r="141" spans="1:5" x14ac:dyDescent="0.3">
      <c r="A141" t="s">
        <v>452</v>
      </c>
      <c r="B141" t="s">
        <v>544</v>
      </c>
      <c r="C141" t="s">
        <v>535</v>
      </c>
      <c r="D141" s="2">
        <v>952369</v>
      </c>
      <c r="E141" s="2">
        <v>1189265</v>
      </c>
    </row>
    <row r="142" spans="1:5" x14ac:dyDescent="0.3">
      <c r="A142" t="s">
        <v>359</v>
      </c>
      <c r="B142" t="s">
        <v>549</v>
      </c>
      <c r="C142" t="s">
        <v>542</v>
      </c>
      <c r="D142" s="2">
        <v>948977</v>
      </c>
      <c r="E142" s="2">
        <v>2254068</v>
      </c>
    </row>
    <row r="143" spans="1:5" x14ac:dyDescent="0.3">
      <c r="A143" t="s">
        <v>524</v>
      </c>
      <c r="B143" t="s">
        <v>549</v>
      </c>
      <c r="C143" t="s">
        <v>542</v>
      </c>
      <c r="D143" s="2">
        <v>933450</v>
      </c>
      <c r="E143" s="2">
        <v>2448301</v>
      </c>
    </row>
    <row r="144" spans="1:5" x14ac:dyDescent="0.3">
      <c r="A144" t="s">
        <v>261</v>
      </c>
      <c r="B144" t="s">
        <v>557</v>
      </c>
      <c r="C144" t="s">
        <v>551</v>
      </c>
      <c r="D144" s="2">
        <v>924955</v>
      </c>
      <c r="E144" s="2">
        <v>8606323</v>
      </c>
    </row>
    <row r="145" spans="1:5" x14ac:dyDescent="0.3">
      <c r="A145" t="s">
        <v>401</v>
      </c>
      <c r="B145" t="s">
        <v>541</v>
      </c>
      <c r="C145" t="s">
        <v>542</v>
      </c>
      <c r="D145" s="2">
        <v>919398</v>
      </c>
      <c r="E145" s="2">
        <v>4403313</v>
      </c>
    </row>
    <row r="146" spans="1:5" x14ac:dyDescent="0.3">
      <c r="A146" t="s">
        <v>66</v>
      </c>
      <c r="B146" t="s">
        <v>534</v>
      </c>
      <c r="C146" t="s">
        <v>535</v>
      </c>
      <c r="D146" s="2">
        <v>729236</v>
      </c>
      <c r="E146" s="2">
        <v>3170216</v>
      </c>
    </row>
    <row r="147" spans="1:5" x14ac:dyDescent="0.3">
      <c r="A147" t="s">
        <v>86</v>
      </c>
      <c r="B147" t="s">
        <v>552</v>
      </c>
      <c r="C147" t="s">
        <v>542</v>
      </c>
      <c r="D147" s="2">
        <v>702911</v>
      </c>
      <c r="E147" s="2">
        <v>1267185</v>
      </c>
    </row>
    <row r="148" spans="1:5" x14ac:dyDescent="0.3">
      <c r="A148" t="s">
        <v>293</v>
      </c>
      <c r="B148" t="s">
        <v>549</v>
      </c>
      <c r="C148" t="s">
        <v>542</v>
      </c>
      <c r="D148" s="2">
        <v>665312</v>
      </c>
      <c r="E148" s="2">
        <v>2108328</v>
      </c>
    </row>
    <row r="149" spans="1:5" x14ac:dyDescent="0.3">
      <c r="A149" t="s">
        <v>241</v>
      </c>
      <c r="B149" t="s">
        <v>552</v>
      </c>
      <c r="C149" t="s">
        <v>542</v>
      </c>
      <c r="D149" s="2">
        <v>607311</v>
      </c>
      <c r="E149" s="2">
        <v>11175374</v>
      </c>
    </row>
    <row r="150" spans="1:5" x14ac:dyDescent="0.3">
      <c r="A150" t="s">
        <v>313</v>
      </c>
      <c r="B150" t="s">
        <v>545</v>
      </c>
      <c r="C150" t="s">
        <v>498</v>
      </c>
      <c r="D150" s="2">
        <v>570794</v>
      </c>
      <c r="E150" s="2">
        <v>604245</v>
      </c>
    </row>
    <row r="151" spans="1:5" x14ac:dyDescent="0.3">
      <c r="A151" t="s">
        <v>144</v>
      </c>
      <c r="B151" t="s">
        <v>552</v>
      </c>
      <c r="C151" t="s">
        <v>542</v>
      </c>
      <c r="D151" s="2">
        <v>532849</v>
      </c>
      <c r="E151" s="2">
        <v>958923</v>
      </c>
    </row>
    <row r="152" spans="1:5" x14ac:dyDescent="0.3">
      <c r="A152" t="s">
        <v>558</v>
      </c>
      <c r="B152" t="s">
        <v>534</v>
      </c>
      <c r="C152" t="s">
        <v>535</v>
      </c>
      <c r="D152" s="2">
        <v>517789</v>
      </c>
      <c r="E152" s="2">
        <v>631636</v>
      </c>
    </row>
    <row r="153" spans="1:5" x14ac:dyDescent="0.3">
      <c r="A153" t="s">
        <v>309</v>
      </c>
      <c r="B153" t="s">
        <v>554</v>
      </c>
      <c r="C153" t="s">
        <v>542</v>
      </c>
      <c r="D153" s="2">
        <v>455055</v>
      </c>
      <c r="E153" s="2">
        <v>5244359</v>
      </c>
    </row>
    <row r="154" spans="1:5" x14ac:dyDescent="0.3">
      <c r="A154" t="s">
        <v>19</v>
      </c>
      <c r="B154" t="s">
        <v>557</v>
      </c>
      <c r="C154" t="s">
        <v>551</v>
      </c>
      <c r="D154" s="2">
        <v>452479</v>
      </c>
      <c r="E154" s="2">
        <v>883483</v>
      </c>
    </row>
    <row r="155" spans="1:5" x14ac:dyDescent="0.3">
      <c r="A155" t="s">
        <v>247</v>
      </c>
      <c r="B155" t="s">
        <v>546</v>
      </c>
      <c r="C155" t="s">
        <v>498</v>
      </c>
      <c r="D155" s="2">
        <v>505055</v>
      </c>
      <c r="E155" s="2">
        <v>627809</v>
      </c>
    </row>
    <row r="156" spans="1:5" x14ac:dyDescent="0.3">
      <c r="A156" t="s">
        <v>409</v>
      </c>
      <c r="B156" t="s">
        <v>541</v>
      </c>
      <c r="C156" t="s">
        <v>542</v>
      </c>
      <c r="D156" s="2">
        <v>416753</v>
      </c>
      <c r="E156" s="2">
        <v>2280094</v>
      </c>
    </row>
    <row r="157" spans="1:5" x14ac:dyDescent="0.3">
      <c r="A157" t="s">
        <v>257</v>
      </c>
      <c r="B157" t="s">
        <v>549</v>
      </c>
      <c r="C157" t="s">
        <v>542</v>
      </c>
      <c r="D157" s="2">
        <v>414278</v>
      </c>
      <c r="E157" s="2">
        <v>1136281</v>
      </c>
    </row>
    <row r="158" spans="1:5" x14ac:dyDescent="0.3">
      <c r="A158" t="s">
        <v>255</v>
      </c>
      <c r="B158" t="s">
        <v>539</v>
      </c>
      <c r="C158" t="s">
        <v>535</v>
      </c>
      <c r="D158" s="2">
        <v>406705</v>
      </c>
      <c r="E158" s="2">
        <v>428963</v>
      </c>
    </row>
    <row r="159" spans="1:5" x14ac:dyDescent="0.3">
      <c r="A159" t="s">
        <v>102</v>
      </c>
      <c r="B159" t="s">
        <v>536</v>
      </c>
      <c r="C159" t="s">
        <v>535</v>
      </c>
      <c r="D159" s="2">
        <v>388541</v>
      </c>
      <c r="E159" s="2">
        <v>754388</v>
      </c>
    </row>
    <row r="160" spans="1:5" x14ac:dyDescent="0.3">
      <c r="A160" t="s">
        <v>285</v>
      </c>
      <c r="B160" t="s">
        <v>541</v>
      </c>
      <c r="C160" t="s">
        <v>542</v>
      </c>
      <c r="D160" s="2">
        <v>377607</v>
      </c>
      <c r="E160" s="2">
        <v>4818973</v>
      </c>
    </row>
    <row r="161" spans="1:5" x14ac:dyDescent="0.3">
      <c r="A161" t="s">
        <v>205</v>
      </c>
      <c r="B161" t="s">
        <v>539</v>
      </c>
      <c r="C161" t="s">
        <v>535</v>
      </c>
      <c r="D161" s="2">
        <v>356356</v>
      </c>
      <c r="E161" s="2">
        <v>1267974</v>
      </c>
    </row>
    <row r="162" spans="1:5" x14ac:dyDescent="0.3">
      <c r="A162" t="s">
        <v>239</v>
      </c>
      <c r="B162" t="s">
        <v>546</v>
      </c>
      <c r="C162" t="s">
        <v>498</v>
      </c>
      <c r="D162" s="2">
        <v>344970</v>
      </c>
      <c r="E162" s="2">
        <v>439248</v>
      </c>
    </row>
    <row r="163" spans="1:5" x14ac:dyDescent="0.3">
      <c r="A163" t="s">
        <v>411</v>
      </c>
      <c r="B163" t="s">
        <v>555</v>
      </c>
      <c r="C163" t="s">
        <v>538</v>
      </c>
      <c r="D163" s="2">
        <v>336057</v>
      </c>
      <c r="E163" s="2">
        <v>385637</v>
      </c>
    </row>
    <row r="164" spans="1:5" x14ac:dyDescent="0.3">
      <c r="A164" t="s">
        <v>484</v>
      </c>
      <c r="B164" t="s">
        <v>554</v>
      </c>
      <c r="C164" t="s">
        <v>542</v>
      </c>
      <c r="D164" s="2">
        <v>332642</v>
      </c>
      <c r="E164" s="2">
        <v>1308975</v>
      </c>
    </row>
    <row r="165" spans="1:5" x14ac:dyDescent="0.3">
      <c r="A165" t="s">
        <v>156</v>
      </c>
      <c r="B165" t="s">
        <v>547</v>
      </c>
      <c r="C165" t="s">
        <v>498</v>
      </c>
      <c r="D165" s="2">
        <v>329196</v>
      </c>
      <c r="E165" s="2">
        <v>336713</v>
      </c>
    </row>
    <row r="166" spans="1:5" x14ac:dyDescent="0.3">
      <c r="A166" t="s">
        <v>387</v>
      </c>
      <c r="B166" t="s">
        <v>541</v>
      </c>
      <c r="C166" t="s">
        <v>542</v>
      </c>
      <c r="D166" s="2">
        <v>312315</v>
      </c>
      <c r="E166" s="2">
        <v>543767</v>
      </c>
    </row>
    <row r="167" spans="1:5" x14ac:dyDescent="0.3">
      <c r="A167" t="s">
        <v>64</v>
      </c>
      <c r="B167" t="s">
        <v>552</v>
      </c>
      <c r="C167" t="s">
        <v>542</v>
      </c>
      <c r="D167" s="2">
        <v>294851</v>
      </c>
      <c r="E167" s="2">
        <v>15008226</v>
      </c>
    </row>
    <row r="168" spans="1:5" x14ac:dyDescent="0.3">
      <c r="A168" t="s">
        <v>397</v>
      </c>
      <c r="B168" t="s">
        <v>540</v>
      </c>
      <c r="C168" t="s">
        <v>538</v>
      </c>
      <c r="D168" s="2">
        <v>290375</v>
      </c>
      <c r="E168" s="2">
        <v>779006</v>
      </c>
    </row>
    <row r="169" spans="1:5" x14ac:dyDescent="0.3">
      <c r="A169" t="s">
        <v>231</v>
      </c>
      <c r="B169" t="s">
        <v>540</v>
      </c>
      <c r="C169" t="s">
        <v>538</v>
      </c>
      <c r="D169" s="2">
        <v>275785</v>
      </c>
      <c r="E169" s="2">
        <v>575990</v>
      </c>
    </row>
    <row r="170" spans="1:5" x14ac:dyDescent="0.3">
      <c r="A170" t="s">
        <v>325</v>
      </c>
      <c r="B170" t="s">
        <v>536</v>
      </c>
      <c r="C170" t="s">
        <v>535</v>
      </c>
      <c r="D170" s="2">
        <v>275717</v>
      </c>
      <c r="E170" s="2">
        <v>515696</v>
      </c>
    </row>
    <row r="171" spans="1:5" x14ac:dyDescent="0.3">
      <c r="A171" t="s">
        <v>422</v>
      </c>
      <c r="B171" t="s">
        <v>555</v>
      </c>
      <c r="C171" t="s">
        <v>538</v>
      </c>
      <c r="D171" s="2">
        <v>233604</v>
      </c>
      <c r="E171" s="2">
        <v>286641</v>
      </c>
    </row>
    <row r="172" spans="1:5" x14ac:dyDescent="0.3">
      <c r="A172" t="s">
        <v>420</v>
      </c>
      <c r="B172" t="s">
        <v>557</v>
      </c>
      <c r="C172" t="s">
        <v>551</v>
      </c>
      <c r="D172" s="2">
        <v>226557</v>
      </c>
      <c r="E172" s="2">
        <v>279993</v>
      </c>
    </row>
    <row r="173" spans="1:5" x14ac:dyDescent="0.3">
      <c r="A173" t="s">
        <v>369</v>
      </c>
      <c r="B173" t="s">
        <v>559</v>
      </c>
      <c r="C173" t="s">
        <v>551</v>
      </c>
      <c r="D173" s="2">
        <v>205746</v>
      </c>
      <c r="E173" s="2">
        <v>277679</v>
      </c>
    </row>
    <row r="174" spans="1:5" x14ac:dyDescent="0.3">
      <c r="A174" t="s">
        <v>454</v>
      </c>
      <c r="B174" t="s">
        <v>554</v>
      </c>
      <c r="C174" t="s">
        <v>542</v>
      </c>
      <c r="D174" s="2">
        <v>202204</v>
      </c>
      <c r="E174" s="2">
        <v>4666368</v>
      </c>
    </row>
    <row r="175" spans="1:5" x14ac:dyDescent="0.3">
      <c r="A175" t="s">
        <v>311</v>
      </c>
      <c r="B175" t="s">
        <v>556</v>
      </c>
      <c r="C175" t="s">
        <v>538</v>
      </c>
      <c r="D175" s="2">
        <v>176400</v>
      </c>
      <c r="E175" s="2">
        <v>383071</v>
      </c>
    </row>
    <row r="176" spans="1:5" x14ac:dyDescent="0.3">
      <c r="A176" t="s">
        <v>249</v>
      </c>
      <c r="B176" t="s">
        <v>442</v>
      </c>
      <c r="C176" t="s">
        <v>551</v>
      </c>
      <c r="D176" s="2">
        <v>132221</v>
      </c>
      <c r="E176" s="2">
        <v>165768</v>
      </c>
    </row>
    <row r="177" spans="1:5" x14ac:dyDescent="0.3">
      <c r="A177" t="s">
        <v>375</v>
      </c>
      <c r="B177" t="s">
        <v>555</v>
      </c>
      <c r="C177" t="s">
        <v>538</v>
      </c>
      <c r="D177" s="2">
        <v>102285</v>
      </c>
      <c r="E177" s="2">
        <v>105845</v>
      </c>
    </row>
    <row r="178" spans="1:5" x14ac:dyDescent="0.3">
      <c r="A178" t="s">
        <v>289</v>
      </c>
      <c r="B178" t="s">
        <v>555</v>
      </c>
      <c r="C178" t="s">
        <v>538</v>
      </c>
      <c r="D178" s="2">
        <v>90889</v>
      </c>
      <c r="E178" s="2">
        <v>181889</v>
      </c>
    </row>
    <row r="179" spans="1:5" x14ac:dyDescent="0.3">
      <c r="A179" t="s">
        <v>373</v>
      </c>
      <c r="B179" t="s">
        <v>555</v>
      </c>
      <c r="C179" t="s">
        <v>538</v>
      </c>
      <c r="D179" s="2">
        <v>77529</v>
      </c>
      <c r="E179" s="2">
        <v>96286</v>
      </c>
    </row>
    <row r="180" spans="1:5" x14ac:dyDescent="0.3">
      <c r="A180" t="s">
        <v>430</v>
      </c>
      <c r="B180" t="s">
        <v>546</v>
      </c>
      <c r="C180" t="s">
        <v>498</v>
      </c>
      <c r="D180" s="2">
        <v>76095</v>
      </c>
      <c r="E180" s="2">
        <v>77006</v>
      </c>
    </row>
    <row r="181" spans="1:5" x14ac:dyDescent="0.3">
      <c r="A181" t="s">
        <v>371</v>
      </c>
      <c r="B181" t="s">
        <v>541</v>
      </c>
      <c r="C181" t="s">
        <v>542</v>
      </c>
      <c r="D181" s="2">
        <v>73148</v>
      </c>
      <c r="E181" s="2">
        <v>1874303</v>
      </c>
    </row>
    <row r="182" spans="1:5" x14ac:dyDescent="0.3">
      <c r="A182" t="s">
        <v>440</v>
      </c>
      <c r="B182" t="s">
        <v>557</v>
      </c>
      <c r="C182" t="s">
        <v>551</v>
      </c>
      <c r="D182" s="2">
        <v>72872</v>
      </c>
      <c r="E182" s="2">
        <v>652857</v>
      </c>
    </row>
    <row r="183" spans="1:5" x14ac:dyDescent="0.3">
      <c r="A183" t="s">
        <v>277</v>
      </c>
      <c r="B183" t="s">
        <v>555</v>
      </c>
      <c r="C183" t="s">
        <v>538</v>
      </c>
      <c r="D183" s="2">
        <v>72048</v>
      </c>
      <c r="E183" s="2">
        <v>110211</v>
      </c>
    </row>
    <row r="184" spans="1:5" x14ac:dyDescent="0.3">
      <c r="A184" t="s">
        <v>413</v>
      </c>
      <c r="B184" t="s">
        <v>557</v>
      </c>
      <c r="C184" t="s">
        <v>551</v>
      </c>
      <c r="D184" s="2">
        <v>71050</v>
      </c>
      <c r="E184" s="2">
        <v>292680</v>
      </c>
    </row>
    <row r="185" spans="1:5" x14ac:dyDescent="0.3">
      <c r="A185" t="s">
        <v>323</v>
      </c>
      <c r="B185" t="s">
        <v>552</v>
      </c>
      <c r="C185" t="s">
        <v>542</v>
      </c>
      <c r="D185" s="2">
        <v>69020</v>
      </c>
      <c r="E185" s="2">
        <v>832322</v>
      </c>
    </row>
    <row r="186" spans="1:5" x14ac:dyDescent="0.3">
      <c r="A186" t="s">
        <v>237</v>
      </c>
      <c r="B186" t="s">
        <v>555</v>
      </c>
      <c r="C186" t="s">
        <v>538</v>
      </c>
      <c r="D186" s="2">
        <v>67535</v>
      </c>
      <c r="E186" s="2">
        <v>104680</v>
      </c>
    </row>
    <row r="187" spans="1:5" x14ac:dyDescent="0.3">
      <c r="A187" t="s">
        <v>487</v>
      </c>
      <c r="B187" t="s">
        <v>552</v>
      </c>
      <c r="C187" t="s">
        <v>542</v>
      </c>
      <c r="D187" s="2">
        <v>66402</v>
      </c>
      <c r="E187" s="2">
        <v>3452786</v>
      </c>
    </row>
    <row r="188" spans="1:5" x14ac:dyDescent="0.3">
      <c r="A188" t="s">
        <v>56</v>
      </c>
      <c r="B188" t="s">
        <v>559</v>
      </c>
      <c r="C188" t="s">
        <v>551</v>
      </c>
      <c r="D188" s="2">
        <v>66023</v>
      </c>
      <c r="E188" s="2">
        <v>196129</v>
      </c>
    </row>
    <row r="189" spans="1:5" x14ac:dyDescent="0.3">
      <c r="A189" t="s">
        <v>279</v>
      </c>
      <c r="B189" t="s">
        <v>555</v>
      </c>
      <c r="C189" t="s">
        <v>538</v>
      </c>
      <c r="D189" s="2">
        <v>63692</v>
      </c>
      <c r="E189" s="2">
        <v>111454</v>
      </c>
    </row>
    <row r="190" spans="1:5" x14ac:dyDescent="0.3">
      <c r="A190" t="s">
        <v>478</v>
      </c>
      <c r="B190" t="s">
        <v>554</v>
      </c>
      <c r="C190" t="s">
        <v>542</v>
      </c>
      <c r="D190" s="2">
        <v>61155</v>
      </c>
      <c r="E190" s="2">
        <v>211028</v>
      </c>
    </row>
    <row r="191" spans="1:5" x14ac:dyDescent="0.3">
      <c r="A191" t="s">
        <v>468</v>
      </c>
      <c r="B191" t="s">
        <v>537</v>
      </c>
      <c r="C191" t="s">
        <v>538</v>
      </c>
      <c r="D191" s="2">
        <v>60349</v>
      </c>
      <c r="E191" s="2">
        <v>62756</v>
      </c>
    </row>
    <row r="192" spans="1:5" x14ac:dyDescent="0.3">
      <c r="A192" t="s">
        <v>450</v>
      </c>
      <c r="B192" t="s">
        <v>552</v>
      </c>
      <c r="C192" t="s">
        <v>542</v>
      </c>
      <c r="D192" s="2">
        <v>55677</v>
      </c>
      <c r="E192" s="2">
        <v>97096</v>
      </c>
    </row>
    <row r="193" spans="1:5" x14ac:dyDescent="0.3">
      <c r="A193" t="s">
        <v>215</v>
      </c>
      <c r="B193" t="s">
        <v>555</v>
      </c>
      <c r="C193" t="s">
        <v>538</v>
      </c>
      <c r="D193" s="2">
        <v>51467</v>
      </c>
      <c r="E193" s="2">
        <v>71625</v>
      </c>
    </row>
    <row r="194" spans="1:5" x14ac:dyDescent="0.3">
      <c r="A194" t="s">
        <v>462</v>
      </c>
      <c r="B194" t="s">
        <v>555</v>
      </c>
      <c r="C194" t="s">
        <v>538</v>
      </c>
      <c r="D194" s="2">
        <v>49906</v>
      </c>
      <c r="E194" s="2">
        <v>64174</v>
      </c>
    </row>
    <row r="195" spans="1:5" x14ac:dyDescent="0.3">
      <c r="A195" t="s">
        <v>291</v>
      </c>
      <c r="B195" t="s">
        <v>547</v>
      </c>
      <c r="C195" t="s">
        <v>498</v>
      </c>
      <c r="D195" s="2">
        <v>48097</v>
      </c>
      <c r="E195" s="2">
        <v>48497</v>
      </c>
    </row>
    <row r="196" spans="1:5" x14ac:dyDescent="0.3">
      <c r="A196" t="s">
        <v>353</v>
      </c>
      <c r="B196" t="s">
        <v>555</v>
      </c>
      <c r="C196" t="s">
        <v>538</v>
      </c>
      <c r="D196" s="2">
        <v>44669</v>
      </c>
      <c r="E196" s="2">
        <v>52441</v>
      </c>
    </row>
    <row r="197" spans="1:5" x14ac:dyDescent="0.3">
      <c r="A197" t="s">
        <v>162</v>
      </c>
      <c r="B197" t="s">
        <v>559</v>
      </c>
      <c r="C197" t="s">
        <v>551</v>
      </c>
      <c r="D197" s="2">
        <v>44558</v>
      </c>
      <c r="E197" s="2">
        <v>103197</v>
      </c>
    </row>
    <row r="198" spans="1:5" x14ac:dyDescent="0.3">
      <c r="A198" t="s">
        <v>361</v>
      </c>
      <c r="B198" t="s">
        <v>537</v>
      </c>
      <c r="C198" t="s">
        <v>538</v>
      </c>
      <c r="D198" s="2">
        <v>39242</v>
      </c>
      <c r="E198" s="2">
        <v>56564</v>
      </c>
    </row>
    <row r="199" spans="1:5" x14ac:dyDescent="0.3">
      <c r="A199" t="s">
        <v>168</v>
      </c>
      <c r="B199" t="s">
        <v>547</v>
      </c>
      <c r="C199" t="s">
        <v>498</v>
      </c>
      <c r="D199" s="2">
        <v>38958</v>
      </c>
    </row>
    <row r="200" spans="1:5" x14ac:dyDescent="0.3">
      <c r="A200" t="s">
        <v>138</v>
      </c>
      <c r="B200" t="s">
        <v>545</v>
      </c>
      <c r="C200" t="s">
        <v>498</v>
      </c>
      <c r="D200" s="2">
        <v>37553</v>
      </c>
      <c r="E200" s="2">
        <v>38682</v>
      </c>
    </row>
    <row r="201" spans="1:5" x14ac:dyDescent="0.3">
      <c r="A201" t="s">
        <v>442</v>
      </c>
      <c r="B201" t="s">
        <v>442</v>
      </c>
      <c r="C201" t="s">
        <v>551</v>
      </c>
      <c r="D201" s="2">
        <v>37257</v>
      </c>
      <c r="E201" s="2">
        <v>112640</v>
      </c>
    </row>
    <row r="202" spans="1:5" x14ac:dyDescent="0.3">
      <c r="A202" t="s">
        <v>315</v>
      </c>
      <c r="B202" t="s">
        <v>545</v>
      </c>
      <c r="C202" t="s">
        <v>498</v>
      </c>
      <c r="D202" s="2">
        <v>37201</v>
      </c>
      <c r="E202" s="2">
        <v>37910</v>
      </c>
    </row>
    <row r="203" spans="1:5" x14ac:dyDescent="0.3">
      <c r="A203" t="s">
        <v>301</v>
      </c>
      <c r="B203" t="s">
        <v>546</v>
      </c>
      <c r="C203" t="s">
        <v>498</v>
      </c>
      <c r="D203" s="2">
        <v>32494</v>
      </c>
      <c r="E203" s="2">
        <v>33718</v>
      </c>
    </row>
    <row r="204" spans="1:5" x14ac:dyDescent="0.3">
      <c r="A204" t="s">
        <v>491</v>
      </c>
      <c r="B204" t="s">
        <v>442</v>
      </c>
      <c r="C204" t="s">
        <v>551</v>
      </c>
      <c r="D204" s="2">
        <v>20560</v>
      </c>
      <c r="E204" s="2">
        <v>58413</v>
      </c>
    </row>
    <row r="205" spans="1:5" x14ac:dyDescent="0.3">
      <c r="A205" t="s">
        <v>47</v>
      </c>
      <c r="B205" t="s">
        <v>546</v>
      </c>
      <c r="C205" t="s">
        <v>498</v>
      </c>
      <c r="D205" s="2">
        <v>20100</v>
      </c>
      <c r="E205" s="2">
        <v>33785</v>
      </c>
    </row>
    <row r="206" spans="1:5" x14ac:dyDescent="0.3">
      <c r="A206" t="s">
        <v>458</v>
      </c>
      <c r="B206" t="s">
        <v>442</v>
      </c>
      <c r="C206" t="s">
        <v>551</v>
      </c>
      <c r="D206" s="2">
        <v>16971</v>
      </c>
      <c r="E206" s="2">
        <v>115847</v>
      </c>
    </row>
    <row r="207" spans="1:5" x14ac:dyDescent="0.3">
      <c r="A207" t="s">
        <v>560</v>
      </c>
      <c r="B207" t="s">
        <v>555</v>
      </c>
      <c r="C207" t="s">
        <v>538</v>
      </c>
      <c r="D207" s="2">
        <v>14456</v>
      </c>
      <c r="E207" s="2">
        <v>29802</v>
      </c>
    </row>
    <row r="208" spans="1:5" x14ac:dyDescent="0.3">
      <c r="A208" t="s">
        <v>357</v>
      </c>
      <c r="B208" t="s">
        <v>555</v>
      </c>
      <c r="C208" t="s">
        <v>538</v>
      </c>
      <c r="D208" s="2">
        <v>12043</v>
      </c>
      <c r="E208" s="2">
        <v>14731</v>
      </c>
    </row>
    <row r="209" spans="1:5" x14ac:dyDescent="0.3">
      <c r="A209" t="s">
        <v>438</v>
      </c>
      <c r="B209" t="s">
        <v>442</v>
      </c>
      <c r="C209" t="s">
        <v>551</v>
      </c>
      <c r="D209" s="2">
        <v>6475</v>
      </c>
      <c r="E209" s="2">
        <v>10670</v>
      </c>
    </row>
    <row r="210" spans="1:5" x14ac:dyDescent="0.3">
      <c r="A210" t="s">
        <v>415</v>
      </c>
      <c r="B210" t="s">
        <v>559</v>
      </c>
      <c r="C210" t="s">
        <v>551</v>
      </c>
      <c r="D210" s="2">
        <v>5520</v>
      </c>
      <c r="E210" s="2">
        <v>11508</v>
      </c>
    </row>
    <row r="211" spans="1:5" x14ac:dyDescent="0.3">
      <c r="A211" t="s">
        <v>480</v>
      </c>
      <c r="B211" t="s">
        <v>541</v>
      </c>
      <c r="C211" t="s">
        <v>542</v>
      </c>
      <c r="D211" s="2">
        <v>2906</v>
      </c>
      <c r="E211" s="2">
        <v>6035</v>
      </c>
    </row>
    <row r="212" spans="1:5" x14ac:dyDescent="0.3">
      <c r="A212" t="s">
        <v>482</v>
      </c>
      <c r="B212" t="s">
        <v>540</v>
      </c>
      <c r="C212" t="s">
        <v>538</v>
      </c>
      <c r="D212" s="2">
        <v>2881</v>
      </c>
      <c r="E212" s="2">
        <v>3234</v>
      </c>
    </row>
    <row r="213" spans="1:5" x14ac:dyDescent="0.3">
      <c r="A213" t="s">
        <v>365</v>
      </c>
      <c r="B213" t="s">
        <v>555</v>
      </c>
      <c r="C213" t="s">
        <v>538</v>
      </c>
      <c r="D213" s="2">
        <v>2833</v>
      </c>
      <c r="E213" s="2">
        <v>4993</v>
      </c>
    </row>
    <row r="214" spans="1:5" x14ac:dyDescent="0.3">
      <c r="A214" t="s">
        <v>503</v>
      </c>
      <c r="B214" t="s">
        <v>559</v>
      </c>
      <c r="C214" t="s">
        <v>551</v>
      </c>
      <c r="D214" s="2">
        <v>1383</v>
      </c>
      <c r="E214" s="2">
        <v>11661</v>
      </c>
    </row>
    <row r="215" spans="1:5" x14ac:dyDescent="0.3">
      <c r="A215" t="s">
        <v>428</v>
      </c>
      <c r="B215" t="s">
        <v>559</v>
      </c>
      <c r="C215" t="s">
        <v>551</v>
      </c>
      <c r="D215" s="2">
        <v>1034</v>
      </c>
      <c r="E215" s="2">
        <v>1620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misc</vt:lpstr>
      <vt:lpstr>Sheet1</vt:lpstr>
      <vt:lpstr>all_csv sorted</vt:lpstr>
      <vt:lpstr>worldwide internet prices</vt:lpstr>
      <vt:lpstr>worldwide internet speed</vt:lpstr>
      <vt:lpstr>worldwide internet users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Ops</dc:creator>
  <cp:lastModifiedBy>PaperTrue Operations</cp:lastModifiedBy>
  <dcterms:created xsi:type="dcterms:W3CDTF">2022-07-29T09:31:15Z</dcterms:created>
  <dcterms:modified xsi:type="dcterms:W3CDTF">2022-07-29T17:21:42Z</dcterms:modified>
</cp:coreProperties>
</file>